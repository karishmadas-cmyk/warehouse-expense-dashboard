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shma.das\Documents\CJ DARCL\Operations\Monthly Opex Expenses\"/>
    </mc:Choice>
  </mc:AlternateContent>
  <xr:revisionPtr revIDLastSave="0" documentId="13_ncr:1_{F6387597-2860-44CD-9329-5B56DBE4F1DC}" xr6:coauthVersionLast="47" xr6:coauthVersionMax="47" xr10:uidLastSave="{00000000-0000-0000-0000-000000000000}"/>
  <bookViews>
    <workbookView xWindow="-110" yWindow="-110" windowWidth="19420" windowHeight="10300" xr2:uid="{AD753405-8938-40ED-BF9C-A6CE89EB6A85}"/>
  </bookViews>
  <sheets>
    <sheet name="2026-27" sheetId="1" r:id="rId1"/>
    <sheet name="Budget" sheetId="2" r:id="rId2"/>
    <sheet name="Sheet5" sheetId="6" r:id="rId3"/>
  </sheets>
  <definedNames>
    <definedName name="_xlnm._FilterDatabase" localSheetId="0" hidden="1">'2026-27'!$A$2:$W$196</definedName>
    <definedName name="_xlnm._FilterDatabase" localSheetId="2" hidden="1">Sheet5!$A$1:$G$31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81" i="1" l="1"/>
  <c r="K196" i="1" l="1"/>
  <c r="W196" i="1" s="1"/>
  <c r="K158" i="1"/>
  <c r="K85" i="1"/>
  <c r="K61" i="1"/>
  <c r="K29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F11" i="2" l="1"/>
  <c r="W5" i="1" l="1"/>
  <c r="L86" i="1"/>
  <c r="L43" i="1"/>
  <c r="O49" i="1"/>
  <c r="O10" i="1"/>
  <c r="W127" i="1" l="1"/>
  <c r="G1" i="1" l="1"/>
  <c r="H1" i="1"/>
  <c r="W7" i="1" l="1"/>
  <c r="D11" i="2"/>
  <c r="E11" i="2"/>
  <c r="C11" i="2"/>
  <c r="N9" i="2"/>
  <c r="M9" i="2"/>
  <c r="L9" i="2"/>
  <c r="G9" i="2"/>
  <c r="F9" i="2"/>
  <c r="E9" i="2"/>
  <c r="D9" i="2"/>
  <c r="O8" i="2"/>
  <c r="N7" i="2"/>
  <c r="M7" i="2"/>
  <c r="L7" i="2"/>
  <c r="K7" i="2"/>
  <c r="K9" i="2" s="1"/>
  <c r="J7" i="2"/>
  <c r="J9" i="2" s="1"/>
  <c r="I7" i="2"/>
  <c r="I9" i="2" s="1"/>
  <c r="H7" i="2"/>
  <c r="H9" i="2" s="1"/>
  <c r="G7" i="2"/>
  <c r="F7" i="2"/>
  <c r="E7" i="2"/>
  <c r="D7" i="2"/>
  <c r="C7" i="2"/>
  <c r="C9" i="2" s="1"/>
  <c r="O7" i="2" l="1"/>
  <c r="O9" i="2" s="1"/>
  <c r="W60" i="1" l="1"/>
  <c r="J155" i="1"/>
  <c r="W155" i="1" s="1"/>
  <c r="W147" i="1"/>
  <c r="W86" i="1"/>
  <c r="W149" i="1"/>
  <c r="W148" i="1"/>
  <c r="W146" i="1"/>
  <c r="W51" i="1"/>
  <c r="W4" i="1"/>
  <c r="W6" i="1"/>
  <c r="W8" i="1"/>
  <c r="W9" i="1"/>
  <c r="W10" i="1"/>
  <c r="W11" i="1"/>
  <c r="W12" i="1"/>
  <c r="W13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2" i="1"/>
  <c r="W55" i="1"/>
  <c r="W57" i="1"/>
  <c r="W58" i="1"/>
  <c r="W59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110" i="1"/>
  <c r="W111" i="1"/>
  <c r="W112" i="1"/>
  <c r="W113" i="1"/>
  <c r="W114" i="1"/>
  <c r="W115" i="1"/>
  <c r="W116" i="1"/>
  <c r="W117" i="1"/>
  <c r="W118" i="1"/>
  <c r="W119" i="1"/>
  <c r="W120" i="1"/>
  <c r="W101" i="1"/>
  <c r="W102" i="1"/>
  <c r="W103" i="1"/>
  <c r="W104" i="1"/>
  <c r="W105" i="1"/>
  <c r="W106" i="1"/>
  <c r="W107" i="1"/>
  <c r="W108" i="1"/>
  <c r="W109" i="1"/>
  <c r="W98" i="1"/>
  <c r="W99" i="1"/>
  <c r="W100" i="1"/>
  <c r="W87" i="1"/>
  <c r="W88" i="1"/>
  <c r="W89" i="1"/>
  <c r="W90" i="1"/>
  <c r="W91" i="1"/>
  <c r="W92" i="1"/>
  <c r="W93" i="1"/>
  <c r="W94" i="1"/>
  <c r="W95" i="1"/>
  <c r="W82" i="1"/>
  <c r="W83" i="1"/>
  <c r="W84" i="1"/>
  <c r="W85" i="1"/>
  <c r="W121" i="1"/>
  <c r="W122" i="1"/>
  <c r="W123" i="1"/>
  <c r="W124" i="1"/>
  <c r="W125" i="1"/>
  <c r="W126" i="1"/>
  <c r="W129" i="1"/>
  <c r="W128" i="1"/>
  <c r="W130" i="1"/>
  <c r="W131" i="1"/>
  <c r="W132" i="1"/>
  <c r="W133" i="1"/>
  <c r="W134" i="1"/>
  <c r="W135" i="1"/>
  <c r="W136" i="1"/>
  <c r="W137" i="1"/>
  <c r="W138" i="1"/>
  <c r="W139" i="1"/>
  <c r="W140" i="1"/>
  <c r="W143" i="1"/>
  <c r="W144" i="1"/>
  <c r="W145" i="1"/>
  <c r="W150" i="1"/>
  <c r="W151" i="1"/>
  <c r="W152" i="1"/>
  <c r="W153" i="1"/>
  <c r="W154" i="1"/>
  <c r="W156" i="1"/>
  <c r="W157" i="1"/>
  <c r="W158" i="1"/>
  <c r="O56" i="1" l="1"/>
  <c r="W56" i="1" s="1"/>
  <c r="J1" i="1" l="1"/>
  <c r="K1" i="1"/>
  <c r="M1" i="1"/>
  <c r="N1" i="1"/>
  <c r="O1" i="1"/>
  <c r="P1" i="1"/>
  <c r="Q1" i="1"/>
  <c r="R1" i="1"/>
  <c r="S1" i="1"/>
  <c r="T1" i="1"/>
  <c r="U1" i="1"/>
  <c r="L1" i="1" l="1"/>
  <c r="W3" i="1"/>
  <c r="W1" i="1" s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Karishma Das</author>
  </authors>
  <commentList>
    <comment ref="U39" authorId="0" shapeId="0" xr:uid="{93C47FC0-2E7A-4761-A1A6-E6E569A76326}">
      <text>
        <r>
          <rPr>
            <b/>
            <sz val="9"/>
            <color indexed="81"/>
            <rFont val="Tahoma"/>
            <family val="2"/>
          </rPr>
          <t>Karishma Das:</t>
        </r>
        <r>
          <rPr>
            <sz val="9"/>
            <color indexed="81"/>
            <rFont val="Tahoma"/>
            <family val="2"/>
          </rPr>
          <t xml:space="preserve">
Canteen
</t>
        </r>
      </text>
    </comment>
    <comment ref="U79" authorId="0" shapeId="0" xr:uid="{E4E0562C-EAD4-496C-B28A-AC6FC121AAA2}">
      <text>
        <r>
          <rPr>
            <b/>
            <sz val="9"/>
            <color indexed="81"/>
            <rFont val="Tahoma"/>
            <family val="2"/>
          </rPr>
          <t>Karishma Das:</t>
        </r>
        <r>
          <rPr>
            <sz val="9"/>
            <color indexed="81"/>
            <rFont val="Tahoma"/>
            <family val="2"/>
          </rPr>
          <t xml:space="preserve">
Canteen</t>
        </r>
      </text>
    </comment>
    <comment ref="U107" authorId="0" shapeId="0" xr:uid="{DDDB4899-A99A-45D2-8C82-31984F2DF571}">
      <text>
        <r>
          <rPr>
            <b/>
            <sz val="9"/>
            <color indexed="81"/>
            <rFont val="Tahoma"/>
            <family val="2"/>
          </rPr>
          <t>Karishma Das:</t>
        </r>
        <r>
          <rPr>
            <sz val="9"/>
            <color indexed="81"/>
            <rFont val="Tahoma"/>
            <family val="2"/>
          </rPr>
          <t xml:space="preserve">
Canteen</t>
        </r>
      </text>
    </comment>
  </commentList>
</comments>
</file>

<file path=xl/sharedStrings.xml><?xml version="1.0" encoding="utf-8"?>
<sst xmlns="http://schemas.openxmlformats.org/spreadsheetml/2006/main" count="1143" uniqueCount="127">
  <si>
    <t>FY</t>
  </si>
  <si>
    <t>Month</t>
  </si>
  <si>
    <t>Customer</t>
  </si>
  <si>
    <t>Locations</t>
  </si>
  <si>
    <t>WH Type</t>
  </si>
  <si>
    <t>Zone</t>
  </si>
  <si>
    <t>Manpower Outsource</t>
  </si>
  <si>
    <t>Security Outsource</t>
  </si>
  <si>
    <t>Electricity</t>
  </si>
  <si>
    <t>Tea</t>
  </si>
  <si>
    <t>Water</t>
  </si>
  <si>
    <t>Printing &amp; Stationery</t>
  </si>
  <si>
    <t>Petty Cash</t>
  </si>
  <si>
    <t>DG</t>
  </si>
  <si>
    <t>Rental Printer</t>
  </si>
  <si>
    <t>Internet expenses</t>
  </si>
  <si>
    <t>Pest Control</t>
  </si>
  <si>
    <t>Other expenses</t>
  </si>
  <si>
    <t>Remarks</t>
  </si>
  <si>
    <t>Total Expenses</t>
  </si>
  <si>
    <t>2026-27</t>
  </si>
  <si>
    <t>ATOMY ENTERPRISE</t>
  </si>
  <si>
    <t>RALIAWAS</t>
  </si>
  <si>
    <t>Multiple</t>
  </si>
  <si>
    <t>NORTH-1</t>
  </si>
  <si>
    <t>Stapping Machine Repair</t>
  </si>
  <si>
    <t>INNSFREE COSMETICS</t>
  </si>
  <si>
    <t>(Earth pit Work)</t>
  </si>
  <si>
    <t>NTN NEI MANUFACTURING</t>
  </si>
  <si>
    <t>CERAGEM INDIA PVT LTD</t>
  </si>
  <si>
    <t>(All AC Repairing)</t>
  </si>
  <si>
    <t>GWALIOR</t>
  </si>
  <si>
    <t>Single</t>
  </si>
  <si>
    <t>MEESHO</t>
  </si>
  <si>
    <t>MUNDKA</t>
  </si>
  <si>
    <t>Washroom Repair</t>
  </si>
  <si>
    <t>Vi-John</t>
  </si>
  <si>
    <t>JAMALPUR</t>
  </si>
  <si>
    <t>CCTV Camera Installation</t>
  </si>
  <si>
    <t>PROVOGUE</t>
  </si>
  <si>
    <t>BIBO</t>
  </si>
  <si>
    <t>DASNA</t>
  </si>
  <si>
    <t>NORTH</t>
  </si>
  <si>
    <t>RAJPURA</t>
  </si>
  <si>
    <t>FDC</t>
  </si>
  <si>
    <t>GHAZIABAD</t>
  </si>
  <si>
    <t>KOLKATA</t>
  </si>
  <si>
    <t>EAST</t>
  </si>
  <si>
    <t>Standafan cover+MTS Baricading+Safety Net,DG Earthing+Dock Leveller Servicing+Auto scrubber machine</t>
  </si>
  <si>
    <t>FURLENCO</t>
  </si>
  <si>
    <t>SHELL</t>
  </si>
  <si>
    <t>WEST</t>
  </si>
  <si>
    <t>Water Tanker bill</t>
  </si>
  <si>
    <t>HYOSUNG CORPORATION</t>
  </si>
  <si>
    <t>CROCS INDIA/ HEY DUDE</t>
  </si>
  <si>
    <t>Garbage Pickup</t>
  </si>
  <si>
    <t>WESTBURY KOMMERCE</t>
  </si>
  <si>
    <t>RELIANCE AGRI</t>
  </si>
  <si>
    <t>HK</t>
  </si>
  <si>
    <t>SURAT-1</t>
  </si>
  <si>
    <t>SURAT-2</t>
  </si>
  <si>
    <t>GLOVIS INDIA</t>
  </si>
  <si>
    <t>ANANTAPUR</t>
  </si>
  <si>
    <t>SOUTH</t>
  </si>
  <si>
    <t>CALICUT</t>
  </si>
  <si>
    <t>CEPHUS TECHNOLOGIES</t>
  </si>
  <si>
    <t>BANGALORE-1</t>
  </si>
  <si>
    <t>SIEMENS GAMESA RENEWABLE ENERGY</t>
  </si>
  <si>
    <t>ABFRL-PANTALOONS</t>
  </si>
  <si>
    <t>BANGALORE-2</t>
  </si>
  <si>
    <t>CEAT</t>
  </si>
  <si>
    <t>CHENNAI</t>
  </si>
  <si>
    <t>HYDERABAD</t>
  </si>
  <si>
    <t>Inverter Repair &amp; DG Recharge</t>
  </si>
  <si>
    <t>Septic Tank Bill</t>
  </si>
  <si>
    <t>MENSA</t>
  </si>
  <si>
    <t>KHAWASPUR</t>
  </si>
  <si>
    <t>Client owned</t>
  </si>
  <si>
    <t>Dinesh Art+Spill Kit Bag+ Electrical Rubber Mat</t>
  </si>
  <si>
    <t>Garbage</t>
  </si>
  <si>
    <t>BHIWANDI-1</t>
  </si>
  <si>
    <t>BHIWANDI-2</t>
  </si>
  <si>
    <t>BHIWANDI-3</t>
  </si>
  <si>
    <t>DISTRIBUTION (PUMA)</t>
  </si>
  <si>
    <t>BHIWANDI-4</t>
  </si>
  <si>
    <t>ROYAL ENFIELD</t>
  </si>
  <si>
    <t>Office AC Gas Testing &amp; Reffling</t>
  </si>
  <si>
    <t>Plumbing Work+Electrical Wire+ACAMC+Anti Fatigue Mate+Diesel Metal Can+Fire AMC</t>
  </si>
  <si>
    <t>FE</t>
  </si>
  <si>
    <t>DISTRIBUTION</t>
  </si>
  <si>
    <t>Fumigation</t>
  </si>
  <si>
    <t>Cold Room AC repaired+ new battery purchase for RT</t>
  </si>
  <si>
    <t>Cold room AC work and Cooler moter reapir</t>
  </si>
  <si>
    <t>Particulars</t>
  </si>
  <si>
    <t>FY 26-27</t>
  </si>
  <si>
    <t>ROI in Cr</t>
  </si>
  <si>
    <t>North In Cr</t>
  </si>
  <si>
    <t>Total in Cr</t>
  </si>
  <si>
    <t>Excluding WH Rent</t>
  </si>
  <si>
    <t>Salary Direct</t>
  </si>
  <si>
    <t>Budget</t>
  </si>
  <si>
    <t>Actual</t>
  </si>
  <si>
    <t>Additional Space (Sq. Ft.)</t>
  </si>
  <si>
    <t>COWAY</t>
  </si>
  <si>
    <t>Total Utilised  Space (Sq. Ft.)</t>
  </si>
  <si>
    <t>Date</t>
  </si>
  <si>
    <t>Client</t>
  </si>
  <si>
    <t>Location</t>
  </si>
  <si>
    <t>Day</t>
  </si>
  <si>
    <t>Time</t>
  </si>
  <si>
    <t>KAM</t>
  </si>
  <si>
    <t>Monday</t>
  </si>
  <si>
    <t>Yashwant</t>
  </si>
  <si>
    <t>Shubham</t>
  </si>
  <si>
    <t>Tuesday</t>
  </si>
  <si>
    <t>Prashant</t>
  </si>
  <si>
    <t>Wednesday</t>
  </si>
  <si>
    <t>Friday</t>
  </si>
  <si>
    <t>Sunita</t>
  </si>
  <si>
    <t>3 PM onwards</t>
  </si>
  <si>
    <t>DASNA-1</t>
  </si>
  <si>
    <t>DASNA-2</t>
  </si>
  <si>
    <t>DASNA-3</t>
  </si>
  <si>
    <t>MEESHO (GATEWAY)</t>
  </si>
  <si>
    <t>VAS</t>
  </si>
  <si>
    <t>MEESHO (PCDA &amp; FM)</t>
  </si>
  <si>
    <t>MEESHO (FM)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</si>
</sst>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FFFF"/>
      <name val="Aptos"/>
      <family val="2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4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17" fontId="3" fillId="4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17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7" fontId="3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17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center" vertical="center"/>
    </xf>
    <xf numFmtId="17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17" fontId="3" fillId="6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" fontId="3" fillId="6" borderId="7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17" fontId="3" fillId="7" borderId="4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vertical="center"/>
    </xf>
    <xf numFmtId="0" fontId="4" fillId="7" borderId="17" xfId="0" applyFont="1" applyFill="1" applyBorder="1" applyAlignment="1">
      <alignment vertical="center"/>
    </xf>
    <xf numFmtId="1" fontId="2" fillId="7" borderId="4" xfId="0" applyNumberFormat="1" applyFont="1" applyFill="1" applyBorder="1" applyAlignment="1">
      <alignment horizontal="center" vertical="center"/>
    </xf>
    <xf numFmtId="0" fontId="4" fillId="7" borderId="8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17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3" fontId="3" fillId="7" borderId="1" xfId="0" applyNumberFormat="1" applyFont="1" applyFill="1" applyBorder="1" applyAlignment="1">
      <alignment horizontal="center" vertical="center"/>
    </xf>
    <xf numFmtId="1" fontId="3" fillId="7" borderId="10" xfId="0" applyNumberFormat="1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vertical="center"/>
    </xf>
    <xf numFmtId="1" fontId="3" fillId="7" borderId="11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" fontId="3" fillId="7" borderId="13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 vertical="center"/>
    </xf>
    <xf numFmtId="17" fontId="3" fillId="7" borderId="7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vertical="center"/>
    </xf>
    <xf numFmtId="1" fontId="3" fillId="7" borderId="14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" fontId="2" fillId="7" borderId="17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vertical="center"/>
    </xf>
    <xf numFmtId="0" fontId="9" fillId="7" borderId="11" xfId="0" applyFont="1" applyFill="1" applyBorder="1" applyAlignment="1">
      <alignment vertical="center"/>
    </xf>
    <xf numFmtId="1" fontId="2" fillId="7" borderId="1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1" fontId="3" fillId="7" borderId="4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17" fontId="13" fillId="8" borderId="1" xfId="0" applyNumberFormat="1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2" fontId="0" fillId="0" borderId="1" xfId="0" applyNumberFormat="1" applyBorder="1"/>
    <xf numFmtId="2" fontId="11" fillId="0" borderId="1" xfId="0" applyNumberFormat="1" applyFont="1" applyBorder="1"/>
    <xf numFmtId="2" fontId="0" fillId="0" borderId="1" xfId="0" applyNumberFormat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2" fontId="11" fillId="9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5" fillId="0" borderId="1" xfId="0" applyFont="1" applyBorder="1" applyAlignment="1">
      <alignment horizontal="left" vertical="center"/>
    </xf>
    <xf numFmtId="2" fontId="0" fillId="0" borderId="0" xfId="0" applyNumberFormat="1"/>
    <xf numFmtId="2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8" fontId="3" fillId="0" borderId="1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18" fontId="3" fillId="0" borderId="10" xfId="0" applyNumberFormat="1" applyFont="1" applyBorder="1" applyAlignment="1">
      <alignment horizontal="center"/>
    </xf>
    <xf numFmtId="18" fontId="3" fillId="0" borderId="2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12" borderId="3" xfId="0" applyFont="1" applyFill="1" applyBorder="1" applyAlignment="1">
      <alignment horizontal="center" vertical="center"/>
    </xf>
    <xf numFmtId="17" fontId="3" fillId="12" borderId="11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1" fontId="3" fillId="12" borderId="4" xfId="0" applyNumberFormat="1" applyFont="1" applyFill="1" applyBorder="1" applyAlignment="1">
      <alignment horizontal="center" vertical="center"/>
    </xf>
    <xf numFmtId="1" fontId="3" fillId="12" borderId="17" xfId="0" applyNumberFormat="1" applyFont="1" applyFill="1" applyBorder="1" applyAlignment="1">
      <alignment horizontal="center" vertical="center"/>
    </xf>
    <xf numFmtId="1" fontId="3" fillId="12" borderId="17" xfId="0" applyNumberFormat="1" applyFont="1" applyFill="1" applyBorder="1" applyAlignment="1">
      <alignment vertical="center"/>
    </xf>
    <xf numFmtId="0" fontId="4" fillId="12" borderId="17" xfId="0" applyFont="1" applyFill="1" applyBorder="1" applyAlignment="1">
      <alignment vertical="center"/>
    </xf>
    <xf numFmtId="1" fontId="2" fillId="12" borderId="4" xfId="0" applyNumberFormat="1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vertical="center"/>
    </xf>
    <xf numFmtId="0" fontId="3" fillId="12" borderId="5" xfId="0" applyFont="1" applyFill="1" applyBorder="1" applyAlignment="1">
      <alignment horizontal="center" vertical="center"/>
    </xf>
    <xf numFmtId="17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horizontal="center" vertical="center"/>
    </xf>
    <xf numFmtId="1" fontId="3" fillId="12" borderId="13" xfId="0" applyNumberFormat="1" applyFont="1" applyFill="1" applyBorder="1" applyAlignment="1">
      <alignment horizontal="center" vertical="center"/>
    </xf>
    <xf numFmtId="1" fontId="10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vertical="center"/>
    </xf>
    <xf numFmtId="3" fontId="3" fillId="12" borderId="1" xfId="0" applyNumberFormat="1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vertical="center"/>
    </xf>
    <xf numFmtId="1" fontId="3" fillId="12" borderId="10" xfId="0" applyNumberFormat="1" applyFont="1" applyFill="1" applyBorder="1" applyAlignment="1">
      <alignment vertical="center"/>
    </xf>
    <xf numFmtId="0" fontId="4" fillId="12" borderId="10" xfId="0" applyFont="1" applyFill="1" applyBorder="1" applyAlignment="1">
      <alignment vertical="center"/>
    </xf>
    <xf numFmtId="1" fontId="3" fillId="12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/>
    </xf>
    <xf numFmtId="1" fontId="3" fillId="12" borderId="11" xfId="0" applyNumberFormat="1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vertical="center"/>
    </xf>
    <xf numFmtId="0" fontId="4" fillId="12" borderId="1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3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vertical="center"/>
    </xf>
    <xf numFmtId="1" fontId="2" fillId="12" borderId="17" xfId="0" applyNumberFormat="1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vertical="center"/>
    </xf>
    <xf numFmtId="0" fontId="9" fillId="12" borderId="11" xfId="0" applyFont="1" applyFill="1" applyBorder="1" applyAlignment="1">
      <alignment vertical="center"/>
    </xf>
    <xf numFmtId="1" fontId="2" fillId="12" borderId="11" xfId="0" applyNumberFormat="1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3" fillId="12" borderId="6" xfId="0" applyFont="1" applyFill="1" applyBorder="1" applyAlignment="1">
      <alignment horizontal="center" vertical="center"/>
    </xf>
    <xf numFmtId="17" fontId="3" fillId="12" borderId="7" xfId="0" applyNumberFormat="1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1" fontId="3" fillId="12" borderId="14" xfId="0" applyNumberFormat="1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vertical="center"/>
    </xf>
    <xf numFmtId="0" fontId="9" fillId="12" borderId="7" xfId="0" applyFont="1" applyFill="1" applyBorder="1" applyAlignment="1">
      <alignment vertical="center"/>
    </xf>
    <xf numFmtId="0" fontId="4" fillId="12" borderId="9" xfId="0" applyFont="1" applyFill="1" applyBorder="1" applyAlignment="1">
      <alignment vertical="center"/>
    </xf>
    <xf numFmtId="18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8" fontId="3" fillId="0" borderId="11" xfId="0" applyNumberFormat="1" applyFont="1" applyBorder="1" applyAlignment="1">
      <alignment horizontal="center" vertical="center"/>
    </xf>
    <xf numFmtId="1" fontId="3" fillId="7" borderId="11" xfId="0" applyNumberFormat="1" applyFont="1" applyFill="1" applyBorder="1" applyAlignment="1">
      <alignment horizontal="center" vertical="center" wrapText="1"/>
    </xf>
    <xf numFmtId="1" fontId="10" fillId="7" borderId="11" xfId="0" applyNumberFormat="1" applyFont="1" applyFill="1" applyBorder="1" applyAlignment="1">
      <alignment horizontal="center" vertical="center" wrapText="1"/>
    </xf>
    <xf numFmtId="1" fontId="9" fillId="7" borderId="11" xfId="0" applyNumberFormat="1" applyFont="1" applyFill="1" applyBorder="1" applyAlignment="1">
      <alignment horizontal="center" vertical="center" wrapText="1"/>
    </xf>
    <xf numFmtId="1" fontId="3" fillId="7" borderId="11" xfId="1" applyNumberFormat="1" applyFont="1" applyFill="1" applyBorder="1" applyAlignment="1">
      <alignment horizontal="center" vertical="center"/>
    </xf>
    <xf numFmtId="1" fontId="3" fillId="12" borderId="11" xfId="0" applyNumberFormat="1" applyFont="1" applyFill="1" applyBorder="1" applyAlignment="1">
      <alignment horizontal="center" vertical="center" wrapText="1"/>
    </xf>
    <xf numFmtId="1" fontId="10" fillId="12" borderId="11" xfId="0" applyNumberFormat="1" applyFont="1" applyFill="1" applyBorder="1" applyAlignment="1">
      <alignment horizontal="center" vertical="center" wrapText="1"/>
    </xf>
    <xf numFmtId="1" fontId="9" fillId="12" borderId="1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3073-2BD3-48B4-976A-5AF0F87293C3}">
  <dimension ref="A1:W196"/>
  <sheetViews>
    <sheetView showGridLines="0" tabSelected="1" topLeftCell="B1" zoomScale="70" zoomScaleNormal="80" workbookViewId="0">
      <pane xSplit="3" topLeftCell="F1" activePane="topRight" state="frozen"/>
      <selection activeCell="B1" sqref="B1"/>
      <selection pane="topRight" activeCell="J44" sqref="J44"/>
    </sheetView>
  </sheetViews>
  <sheetFormatPr defaultRowHeight="14.5" x14ac:dyDescent="0.35"/>
  <cols>
    <col min="1" max="1" width="9" style="3" customWidth="1"/>
    <col min="2" max="2" width="9.1796875" style="3" customWidth="1"/>
    <col min="3" max="3" width="28.1796875" style="3" customWidth="1"/>
    <col min="4" max="4" width="11.6328125" style="3" bestFit="1" customWidth="1"/>
    <col min="5" max="5" width="10" style="3" customWidth="1"/>
    <col min="6" max="6" width="18.54296875" style="3" customWidth="1"/>
    <col min="7" max="7" width="20.453125" style="1" hidden="1" customWidth="1"/>
    <col min="8" max="8" width="18.54296875" style="1" hidden="1" customWidth="1"/>
    <col min="9" max="9" width="16.1796875" style="3" bestFit="1" customWidth="1"/>
    <col min="10" max="10" width="14.1796875" style="3" bestFit="1" customWidth="1"/>
    <col min="11" max="11" width="13.36328125" style="3" bestFit="1" customWidth="1"/>
    <col min="12" max="12" width="15" style="11" bestFit="1" customWidth="1"/>
    <col min="13" max="13" width="16" style="3" bestFit="1" customWidth="1"/>
    <col min="14" max="14" width="11.7265625" style="3" bestFit="1" customWidth="1"/>
    <col min="15" max="15" width="15.54296875" style="3" bestFit="1" customWidth="1"/>
    <col min="16" max="16" width="11.7265625" style="3" bestFit="1" customWidth="1"/>
    <col min="17" max="17" width="10.6328125" style="3" bestFit="1" customWidth="1"/>
    <col min="18" max="18" width="11.7265625" style="3" bestFit="1" customWidth="1"/>
    <col min="19" max="19" width="13.36328125" style="3" bestFit="1" customWidth="1"/>
    <col min="20" max="21" width="11.7265625" style="3" bestFit="1" customWidth="1"/>
    <col min="22" max="22" width="82" style="3" bestFit="1" customWidth="1"/>
    <col min="23" max="23" width="14.453125" style="3" bestFit="1" customWidth="1"/>
    <col min="24" max="16384" width="8.7265625" style="3"/>
  </cols>
  <sheetData>
    <row r="1" spans="1:23" s="1" customFormat="1" ht="15" thickBot="1" x14ac:dyDescent="0.4">
      <c r="G1" s="2">
        <f>SUBTOTAL(9,G3:G1048576)</f>
        <v>12817946</v>
      </c>
      <c r="H1" s="2">
        <f>SUBTOTAL(9,H3:H1048576)</f>
        <v>178351</v>
      </c>
      <c r="I1" s="2">
        <f>SUBTOTAL(9,I3:I1048576)</f>
        <v>207625747.40000001</v>
      </c>
      <c r="J1" s="2">
        <f>SUBTOTAL(9,J3:J1048576)</f>
        <v>26671282.380000003</v>
      </c>
      <c r="K1" s="2">
        <f>SUBTOTAL(9,K3:K1048576)</f>
        <v>8178763</v>
      </c>
      <c r="L1" s="9">
        <f>SUBTOTAL(9,L3:L1048576)</f>
        <v>6413383.25</v>
      </c>
      <c r="M1" s="2">
        <f>SUBTOTAL(9,M3:M1048576)</f>
        <v>1839715</v>
      </c>
      <c r="N1" s="2">
        <f>SUBTOTAL(9,N3:N1048576)</f>
        <v>1118738</v>
      </c>
      <c r="O1" s="2">
        <f>SUBTOTAL(9,O3:O1048576)</f>
        <v>1555003.3333333335</v>
      </c>
      <c r="P1" s="2">
        <f>SUBTOTAL(9,P3:P1048576)</f>
        <v>402379</v>
      </c>
      <c r="Q1" s="2">
        <f>SUBTOTAL(9,Q3:Q1048576)</f>
        <v>452285</v>
      </c>
      <c r="R1" s="2">
        <f>SUBTOTAL(9,R3:R1048576)</f>
        <v>383307</v>
      </c>
      <c r="S1" s="2">
        <f>SUBTOTAL(9,S3:S1048576)</f>
        <v>236012</v>
      </c>
      <c r="T1" s="2">
        <f>SUBTOTAL(9,T3:T1048576)</f>
        <v>342270</v>
      </c>
      <c r="U1" s="2">
        <f>SUBTOTAL(9,U3:U1048576)</f>
        <v>2625999.15</v>
      </c>
      <c r="V1" s="2"/>
      <c r="W1" s="2">
        <f>SUBTOTAL(9,W3:W1048576)</f>
        <v>177000562.2533333</v>
      </c>
    </row>
    <row r="2" spans="1:23" s="7" customFormat="1" ht="15" thickBot="1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104</v>
      </c>
      <c r="H2" s="4" t="s">
        <v>102</v>
      </c>
      <c r="I2" s="5" t="s">
        <v>6</v>
      </c>
      <c r="J2" s="8" t="s">
        <v>7</v>
      </c>
      <c r="K2" s="5" t="s">
        <v>124</v>
      </c>
      <c r="L2" s="10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5" t="s">
        <v>17</v>
      </c>
      <c r="V2" s="5" t="s">
        <v>18</v>
      </c>
      <c r="W2" s="6" t="s">
        <v>19</v>
      </c>
    </row>
    <row r="3" spans="1:23" s="17" customFormat="1" ht="15" thickBot="1" x14ac:dyDescent="0.4">
      <c r="A3" s="12" t="s">
        <v>20</v>
      </c>
      <c r="B3" s="13">
        <v>46113</v>
      </c>
      <c r="C3" s="14" t="s">
        <v>21</v>
      </c>
      <c r="D3" s="14" t="s">
        <v>22</v>
      </c>
      <c r="E3" s="14" t="s">
        <v>23</v>
      </c>
      <c r="F3" s="14" t="s">
        <v>42</v>
      </c>
      <c r="G3" s="14">
        <v>11702</v>
      </c>
      <c r="H3" s="14">
        <v>0</v>
      </c>
      <c r="I3" s="15">
        <v>125437</v>
      </c>
      <c r="J3" s="15">
        <v>85083</v>
      </c>
      <c r="K3" s="15">
        <v>0</v>
      </c>
      <c r="L3" s="15">
        <v>6159</v>
      </c>
      <c r="M3" s="15">
        <v>4676</v>
      </c>
      <c r="N3" s="15">
        <v>2600</v>
      </c>
      <c r="O3" s="15">
        <v>15000</v>
      </c>
      <c r="P3" s="15">
        <v>0</v>
      </c>
      <c r="Q3" s="15">
        <v>0</v>
      </c>
      <c r="R3" s="15">
        <v>0</v>
      </c>
      <c r="S3" s="15">
        <v>3125</v>
      </c>
      <c r="T3" s="15">
        <v>2500</v>
      </c>
      <c r="U3" s="15">
        <v>2000</v>
      </c>
      <c r="V3" s="15" t="s">
        <v>25</v>
      </c>
      <c r="W3" s="16">
        <f>SUM(I3:U3)</f>
        <v>246580</v>
      </c>
    </row>
    <row r="4" spans="1:23" s="22" customFormat="1" ht="15" thickBot="1" x14ac:dyDescent="0.4">
      <c r="A4" s="18" t="s">
        <v>20</v>
      </c>
      <c r="B4" s="19">
        <v>46113</v>
      </c>
      <c r="C4" s="20" t="s">
        <v>26</v>
      </c>
      <c r="D4" s="20" t="s">
        <v>22</v>
      </c>
      <c r="E4" s="20" t="s">
        <v>23</v>
      </c>
      <c r="F4" s="20" t="s">
        <v>42</v>
      </c>
      <c r="G4" s="20">
        <v>15000</v>
      </c>
      <c r="H4" s="20">
        <v>4000</v>
      </c>
      <c r="I4" s="21">
        <v>528210</v>
      </c>
      <c r="J4" s="21">
        <v>35982.333333333336</v>
      </c>
      <c r="K4" s="21">
        <v>0</v>
      </c>
      <c r="L4" s="21">
        <v>6160</v>
      </c>
      <c r="M4" s="21">
        <v>17032</v>
      </c>
      <c r="N4" s="21">
        <v>3280</v>
      </c>
      <c r="O4" s="21">
        <v>44762</v>
      </c>
      <c r="P4" s="21">
        <v>0</v>
      </c>
      <c r="Q4" s="21">
        <v>3334</v>
      </c>
      <c r="R4" s="21">
        <v>10589</v>
      </c>
      <c r="S4" s="21">
        <v>3125</v>
      </c>
      <c r="T4" s="21">
        <v>2500</v>
      </c>
      <c r="U4" s="21">
        <v>57500</v>
      </c>
      <c r="V4" s="21" t="s">
        <v>27</v>
      </c>
      <c r="W4" s="16">
        <f t="shared" ref="W4:W66" si="0">SUM(I4:U4)</f>
        <v>712474.33333333337</v>
      </c>
    </row>
    <row r="5" spans="1:23" s="22" customFormat="1" ht="15" thickBot="1" x14ac:dyDescent="0.4">
      <c r="A5" s="18" t="s">
        <v>20</v>
      </c>
      <c r="B5" s="19">
        <v>46113</v>
      </c>
      <c r="C5" s="20" t="s">
        <v>28</v>
      </c>
      <c r="D5" s="20" t="s">
        <v>22</v>
      </c>
      <c r="E5" s="20" t="s">
        <v>23</v>
      </c>
      <c r="F5" s="20" t="s">
        <v>42</v>
      </c>
      <c r="G5" s="20">
        <v>11014</v>
      </c>
      <c r="H5" s="20">
        <v>2200</v>
      </c>
      <c r="I5" s="21">
        <v>86702</v>
      </c>
      <c r="J5" s="21">
        <v>0</v>
      </c>
      <c r="K5" s="21">
        <v>704</v>
      </c>
      <c r="L5" s="21">
        <v>6160</v>
      </c>
      <c r="M5" s="21">
        <v>4232</v>
      </c>
      <c r="N5" s="21">
        <v>0</v>
      </c>
      <c r="O5" s="21">
        <v>0</v>
      </c>
      <c r="P5" s="21">
        <v>0</v>
      </c>
      <c r="Q5" s="21">
        <v>3334</v>
      </c>
      <c r="R5" s="21">
        <v>0</v>
      </c>
      <c r="S5" s="21">
        <v>3125</v>
      </c>
      <c r="T5" s="21">
        <v>2500</v>
      </c>
      <c r="U5" s="21">
        <v>0</v>
      </c>
      <c r="V5" s="21"/>
      <c r="W5" s="16">
        <f>SUM(I5:U5)</f>
        <v>106757</v>
      </c>
    </row>
    <row r="6" spans="1:23" s="23" customFormat="1" ht="12.5" thickBot="1" x14ac:dyDescent="0.4">
      <c r="A6" s="18" t="s">
        <v>20</v>
      </c>
      <c r="B6" s="19">
        <v>46113</v>
      </c>
      <c r="C6" s="20" t="s">
        <v>29</v>
      </c>
      <c r="D6" s="20" t="s">
        <v>22</v>
      </c>
      <c r="E6" s="20" t="s">
        <v>23</v>
      </c>
      <c r="F6" s="20" t="s">
        <v>42</v>
      </c>
      <c r="G6" s="20">
        <v>14565</v>
      </c>
      <c r="H6" s="20">
        <v>8000</v>
      </c>
      <c r="I6" s="21">
        <v>52800</v>
      </c>
      <c r="J6" s="21">
        <v>35982.333333333336</v>
      </c>
      <c r="K6" s="21">
        <v>2816</v>
      </c>
      <c r="L6" s="21">
        <v>6160</v>
      </c>
      <c r="M6" s="21">
        <v>9150</v>
      </c>
      <c r="N6" s="21">
        <v>3740</v>
      </c>
      <c r="O6" s="21">
        <v>0</v>
      </c>
      <c r="P6" s="21">
        <v>0</v>
      </c>
      <c r="Q6" s="21">
        <v>3334</v>
      </c>
      <c r="R6" s="21">
        <v>0</v>
      </c>
      <c r="S6" s="21">
        <v>3125</v>
      </c>
      <c r="T6" s="21">
        <v>2500</v>
      </c>
      <c r="U6" s="21">
        <v>50070</v>
      </c>
      <c r="V6" s="21" t="s">
        <v>30</v>
      </c>
      <c r="W6" s="16">
        <f t="shared" si="0"/>
        <v>169677.33333333334</v>
      </c>
    </row>
    <row r="7" spans="1:23" s="22" customFormat="1" ht="15" thickBot="1" x14ac:dyDescent="0.4">
      <c r="A7" s="18" t="s">
        <v>20</v>
      </c>
      <c r="B7" s="19">
        <v>46113</v>
      </c>
      <c r="C7" s="20" t="s">
        <v>36</v>
      </c>
      <c r="D7" s="20" t="s">
        <v>22</v>
      </c>
      <c r="E7" s="20" t="s">
        <v>32</v>
      </c>
      <c r="F7" s="20" t="s">
        <v>42</v>
      </c>
      <c r="G7" s="20">
        <v>6000</v>
      </c>
      <c r="H7" s="20">
        <v>0</v>
      </c>
      <c r="I7" s="21">
        <v>11962</v>
      </c>
      <c r="J7" s="21">
        <v>35982</v>
      </c>
      <c r="K7" s="21">
        <v>0</v>
      </c>
      <c r="L7" s="21">
        <v>0</v>
      </c>
      <c r="M7" s="21">
        <v>2514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/>
      <c r="W7" s="16">
        <f t="shared" ref="W7" si="1">SUM(I7:U7)</f>
        <v>50458</v>
      </c>
    </row>
    <row r="8" spans="1:23" s="22" customFormat="1" ht="15" thickBot="1" x14ac:dyDescent="0.4">
      <c r="A8" s="18" t="s">
        <v>20</v>
      </c>
      <c r="B8" s="19">
        <v>46113</v>
      </c>
      <c r="C8" s="20" t="s">
        <v>85</v>
      </c>
      <c r="D8" s="20" t="s">
        <v>31</v>
      </c>
      <c r="E8" s="20" t="s">
        <v>32</v>
      </c>
      <c r="F8" s="20" t="s">
        <v>42</v>
      </c>
      <c r="G8" s="20">
        <v>10437</v>
      </c>
      <c r="H8" s="20">
        <v>0</v>
      </c>
      <c r="I8" s="21">
        <v>233605</v>
      </c>
      <c r="J8" s="21">
        <v>52662</v>
      </c>
      <c r="K8" s="21">
        <v>0</v>
      </c>
      <c r="L8" s="21">
        <v>2128</v>
      </c>
      <c r="M8" s="21">
        <v>3336</v>
      </c>
      <c r="N8" s="21">
        <v>1675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/>
      <c r="W8" s="16">
        <f t="shared" si="0"/>
        <v>293406</v>
      </c>
    </row>
    <row r="9" spans="1:23" s="22" customFormat="1" ht="15" thickBot="1" x14ac:dyDescent="0.4">
      <c r="A9" s="18" t="s">
        <v>20</v>
      </c>
      <c r="B9" s="19">
        <v>46113</v>
      </c>
      <c r="C9" s="20" t="s">
        <v>33</v>
      </c>
      <c r="D9" s="20" t="s">
        <v>34</v>
      </c>
      <c r="E9" s="20" t="s">
        <v>32</v>
      </c>
      <c r="F9" s="20" t="s">
        <v>42</v>
      </c>
      <c r="G9" s="20">
        <v>40000</v>
      </c>
      <c r="H9" s="20">
        <v>0</v>
      </c>
      <c r="I9" s="21">
        <v>3335391</v>
      </c>
      <c r="J9" s="21">
        <v>425953</v>
      </c>
      <c r="K9" s="21">
        <v>0</v>
      </c>
      <c r="L9" s="21">
        <v>85000</v>
      </c>
      <c r="M9" s="21">
        <v>31766</v>
      </c>
      <c r="N9" s="21">
        <v>13275</v>
      </c>
      <c r="O9" s="21">
        <v>13320</v>
      </c>
      <c r="P9" s="21">
        <v>3500</v>
      </c>
      <c r="Q9" s="21">
        <v>15000</v>
      </c>
      <c r="R9" s="21">
        <v>0</v>
      </c>
      <c r="S9" s="21">
        <v>15000</v>
      </c>
      <c r="T9" s="21">
        <v>4200</v>
      </c>
      <c r="U9" s="21">
        <v>10000</v>
      </c>
      <c r="V9" s="21" t="s">
        <v>35</v>
      </c>
      <c r="W9" s="16">
        <f t="shared" si="0"/>
        <v>3952405</v>
      </c>
    </row>
    <row r="10" spans="1:23" s="22" customFormat="1" ht="15" thickBot="1" x14ac:dyDescent="0.4">
      <c r="A10" s="18" t="s">
        <v>20</v>
      </c>
      <c r="B10" s="19">
        <v>46113</v>
      </c>
      <c r="C10" s="20" t="s">
        <v>89</v>
      </c>
      <c r="D10" s="20" t="s">
        <v>37</v>
      </c>
      <c r="E10" s="20" t="s">
        <v>23</v>
      </c>
      <c r="F10" s="20" t="s">
        <v>42</v>
      </c>
      <c r="G10" s="20">
        <v>5000</v>
      </c>
      <c r="H10" s="20">
        <v>0</v>
      </c>
      <c r="I10" s="21">
        <v>240601</v>
      </c>
      <c r="J10" s="21">
        <v>35376</v>
      </c>
      <c r="K10" s="21">
        <v>62055</v>
      </c>
      <c r="L10" s="21">
        <v>2622</v>
      </c>
      <c r="M10" s="21">
        <v>3952</v>
      </c>
      <c r="N10" s="21">
        <v>1108</v>
      </c>
      <c r="O10" s="21">
        <f>6720/3</f>
        <v>2240</v>
      </c>
      <c r="P10" s="21">
        <v>0</v>
      </c>
      <c r="Q10" s="21">
        <v>2333</v>
      </c>
      <c r="R10" s="21">
        <v>0</v>
      </c>
      <c r="S10" s="20">
        <v>1333</v>
      </c>
      <c r="T10" s="21">
        <v>1770</v>
      </c>
      <c r="U10" s="21">
        <v>21780</v>
      </c>
      <c r="V10" s="21" t="s">
        <v>38</v>
      </c>
      <c r="W10" s="16">
        <f t="shared" si="0"/>
        <v>375170</v>
      </c>
    </row>
    <row r="11" spans="1:23" s="22" customFormat="1" ht="15" thickBot="1" x14ac:dyDescent="0.4">
      <c r="A11" s="18" t="s">
        <v>20</v>
      </c>
      <c r="B11" s="19">
        <v>46113</v>
      </c>
      <c r="C11" s="20" t="s">
        <v>39</v>
      </c>
      <c r="D11" s="20" t="s">
        <v>37</v>
      </c>
      <c r="E11" s="20" t="s">
        <v>23</v>
      </c>
      <c r="F11" s="20" t="s">
        <v>42</v>
      </c>
      <c r="G11" s="20">
        <v>7000</v>
      </c>
      <c r="H11" s="20">
        <v>3000</v>
      </c>
      <c r="I11" s="21">
        <v>206962</v>
      </c>
      <c r="J11" s="21">
        <v>35376</v>
      </c>
      <c r="K11" s="21">
        <v>0</v>
      </c>
      <c r="L11" s="21">
        <v>2622</v>
      </c>
      <c r="M11" s="21">
        <v>3720</v>
      </c>
      <c r="N11" s="21">
        <v>1108</v>
      </c>
      <c r="O11" s="21">
        <v>2240</v>
      </c>
      <c r="P11" s="21">
        <v>2000</v>
      </c>
      <c r="Q11" s="21">
        <v>2333</v>
      </c>
      <c r="R11" s="21">
        <v>2500</v>
      </c>
      <c r="S11" s="20">
        <v>1333</v>
      </c>
      <c r="T11" s="21">
        <v>1770</v>
      </c>
      <c r="U11" s="21">
        <v>0</v>
      </c>
      <c r="V11" s="21"/>
      <c r="W11" s="16">
        <f t="shared" si="0"/>
        <v>261964</v>
      </c>
    </row>
    <row r="12" spans="1:23" s="22" customFormat="1" ht="15" thickBot="1" x14ac:dyDescent="0.4">
      <c r="A12" s="18" t="s">
        <v>20</v>
      </c>
      <c r="B12" s="19">
        <v>46113</v>
      </c>
      <c r="C12" s="20" t="s">
        <v>40</v>
      </c>
      <c r="D12" s="20" t="s">
        <v>37</v>
      </c>
      <c r="E12" s="20" t="s">
        <v>23</v>
      </c>
      <c r="F12" s="20" t="s">
        <v>42</v>
      </c>
      <c r="G12" s="20">
        <v>23000</v>
      </c>
      <c r="H12" s="20">
        <v>15620</v>
      </c>
      <c r="I12" s="21">
        <v>46987</v>
      </c>
      <c r="J12" s="21">
        <v>35376</v>
      </c>
      <c r="K12" s="21">
        <v>0</v>
      </c>
      <c r="L12" s="21">
        <v>2622</v>
      </c>
      <c r="M12" s="21">
        <v>1232</v>
      </c>
      <c r="N12" s="21">
        <v>1108</v>
      </c>
      <c r="O12" s="21">
        <v>2240</v>
      </c>
      <c r="P12" s="21">
        <v>0</v>
      </c>
      <c r="Q12" s="21">
        <v>2333</v>
      </c>
      <c r="R12" s="21">
        <v>0</v>
      </c>
      <c r="S12" s="20">
        <v>1333</v>
      </c>
      <c r="T12" s="21">
        <v>1770</v>
      </c>
      <c r="U12" s="21">
        <v>0</v>
      </c>
      <c r="V12" s="21"/>
      <c r="W12" s="16">
        <f>SUM(I12:U12)</f>
        <v>95001</v>
      </c>
    </row>
    <row r="13" spans="1:23" s="22" customFormat="1" ht="15" thickBot="1" x14ac:dyDescent="0.4">
      <c r="A13" s="18" t="s">
        <v>20</v>
      </c>
      <c r="B13" s="19">
        <v>46113</v>
      </c>
      <c r="C13" s="20" t="s">
        <v>75</v>
      </c>
      <c r="D13" s="20" t="s">
        <v>76</v>
      </c>
      <c r="E13" s="20" t="s">
        <v>77</v>
      </c>
      <c r="F13" s="20" t="s">
        <v>42</v>
      </c>
      <c r="G13" s="20">
        <v>44000</v>
      </c>
      <c r="H13" s="20">
        <v>0</v>
      </c>
      <c r="I13" s="20">
        <v>223959</v>
      </c>
      <c r="J13" s="20">
        <v>0</v>
      </c>
      <c r="K13" s="20">
        <v>0</v>
      </c>
      <c r="L13" s="21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4"/>
      <c r="W13" s="16">
        <f t="shared" si="0"/>
        <v>223959</v>
      </c>
    </row>
    <row r="14" spans="1:23" s="22" customFormat="1" ht="15" thickBot="1" x14ac:dyDescent="0.4">
      <c r="A14" s="18"/>
      <c r="B14" s="19">
        <v>46113</v>
      </c>
      <c r="C14" s="20" t="s">
        <v>125</v>
      </c>
      <c r="D14" s="20" t="s">
        <v>120</v>
      </c>
      <c r="E14" s="20" t="s">
        <v>32</v>
      </c>
      <c r="F14" s="20" t="s">
        <v>24</v>
      </c>
      <c r="G14" s="20"/>
      <c r="H14" s="20"/>
      <c r="I14" s="20">
        <v>8620260</v>
      </c>
      <c r="J14" s="20">
        <v>2217434</v>
      </c>
      <c r="K14" s="20">
        <v>246100</v>
      </c>
      <c r="L14" s="21"/>
      <c r="M14" s="20"/>
      <c r="N14" s="20"/>
      <c r="O14" s="20"/>
      <c r="P14" s="20"/>
      <c r="Q14" s="20"/>
      <c r="R14" s="20"/>
      <c r="S14" s="20"/>
      <c r="T14" s="20"/>
      <c r="U14" s="20"/>
      <c r="V14" s="24"/>
      <c r="W14" s="16"/>
    </row>
    <row r="15" spans="1:23" s="22" customFormat="1" ht="15" thickBot="1" x14ac:dyDescent="0.4">
      <c r="A15" s="18"/>
      <c r="B15" s="19">
        <v>46113</v>
      </c>
      <c r="C15" s="20" t="s">
        <v>126</v>
      </c>
      <c r="D15" s="20" t="s">
        <v>121</v>
      </c>
      <c r="E15" s="20" t="s">
        <v>32</v>
      </c>
      <c r="F15" s="20" t="s">
        <v>24</v>
      </c>
      <c r="G15" s="20"/>
      <c r="H15" s="20"/>
      <c r="I15" s="20">
        <v>3561193</v>
      </c>
      <c r="J15" s="20">
        <v>680520</v>
      </c>
      <c r="K15" s="20">
        <v>0</v>
      </c>
      <c r="L15" s="21"/>
      <c r="M15" s="20"/>
      <c r="N15" s="20"/>
      <c r="O15" s="20"/>
      <c r="P15" s="20"/>
      <c r="Q15" s="20"/>
      <c r="R15" s="20"/>
      <c r="S15" s="20"/>
      <c r="T15" s="20"/>
      <c r="U15" s="20"/>
      <c r="V15" s="24"/>
      <c r="W15" s="16"/>
    </row>
    <row r="16" spans="1:23" s="22" customFormat="1" ht="15" thickBot="1" x14ac:dyDescent="0.4">
      <c r="A16" s="18" t="s">
        <v>20</v>
      </c>
      <c r="B16" s="19">
        <v>46113</v>
      </c>
      <c r="C16" s="20" t="s">
        <v>123</v>
      </c>
      <c r="D16" s="20" t="s">
        <v>122</v>
      </c>
      <c r="E16" s="20" t="s">
        <v>32</v>
      </c>
      <c r="F16" s="20" t="s">
        <v>24</v>
      </c>
      <c r="G16" s="20">
        <v>184730</v>
      </c>
      <c r="H16" s="20">
        <v>0</v>
      </c>
      <c r="I16" s="21">
        <v>1073578</v>
      </c>
      <c r="J16" s="21">
        <v>341077.77</v>
      </c>
      <c r="K16" s="21">
        <v>0</v>
      </c>
      <c r="L16" s="21">
        <v>363712</v>
      </c>
      <c r="M16" s="21">
        <v>159268</v>
      </c>
      <c r="N16" s="21">
        <v>78000</v>
      </c>
      <c r="O16" s="21">
        <v>52830</v>
      </c>
      <c r="P16" s="21">
        <v>0</v>
      </c>
      <c r="Q16" s="21">
        <v>0</v>
      </c>
      <c r="R16" s="21">
        <v>0</v>
      </c>
      <c r="S16" s="21">
        <v>31500</v>
      </c>
      <c r="T16" s="21">
        <v>0</v>
      </c>
      <c r="U16" s="21">
        <v>0</v>
      </c>
      <c r="V16" s="21"/>
      <c r="W16" s="16">
        <f t="shared" si="0"/>
        <v>2099965.77</v>
      </c>
    </row>
    <row r="17" spans="1:23" s="22" customFormat="1" ht="15" thickBot="1" x14ac:dyDescent="0.4">
      <c r="A17" s="18" t="s">
        <v>20</v>
      </c>
      <c r="B17" s="19">
        <v>46113</v>
      </c>
      <c r="C17" s="20" t="s">
        <v>33</v>
      </c>
      <c r="D17" s="20" t="s">
        <v>43</v>
      </c>
      <c r="E17" s="20" t="s">
        <v>32</v>
      </c>
      <c r="F17" s="20" t="s">
        <v>24</v>
      </c>
      <c r="G17" s="20">
        <v>43015</v>
      </c>
      <c r="H17" s="20">
        <v>0</v>
      </c>
      <c r="I17" s="21">
        <v>2448838</v>
      </c>
      <c r="J17" s="21">
        <v>276040</v>
      </c>
      <c r="K17" s="21">
        <v>40812</v>
      </c>
      <c r="L17" s="21">
        <v>57290</v>
      </c>
      <c r="M17" s="21">
        <v>64057</v>
      </c>
      <c r="N17" s="21">
        <v>13140</v>
      </c>
      <c r="O17" s="21">
        <v>52462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/>
      <c r="W17" s="16">
        <f t="shared" si="0"/>
        <v>2952639</v>
      </c>
    </row>
    <row r="18" spans="1:23" s="22" customFormat="1" ht="15" thickBot="1" x14ac:dyDescent="0.4">
      <c r="A18" s="18" t="s">
        <v>20</v>
      </c>
      <c r="B18" s="19">
        <v>46113</v>
      </c>
      <c r="C18" s="20" t="s">
        <v>44</v>
      </c>
      <c r="D18" s="20" t="s">
        <v>45</v>
      </c>
      <c r="E18" s="20" t="s">
        <v>32</v>
      </c>
      <c r="F18" s="20" t="s">
        <v>24</v>
      </c>
      <c r="G18" s="20">
        <v>25000</v>
      </c>
      <c r="H18" s="20">
        <v>0</v>
      </c>
      <c r="I18" s="21">
        <v>115986</v>
      </c>
      <c r="J18" s="21">
        <v>56967</v>
      </c>
      <c r="K18" s="21">
        <v>0</v>
      </c>
      <c r="L18" s="21">
        <v>0</v>
      </c>
      <c r="M18" s="21">
        <v>9660</v>
      </c>
      <c r="N18" s="21">
        <v>2250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/>
      <c r="W18" s="16">
        <f t="shared" si="0"/>
        <v>184863</v>
      </c>
    </row>
    <row r="19" spans="1:23" s="23" customFormat="1" ht="12.5" thickBot="1" x14ac:dyDescent="0.4">
      <c r="A19" s="18" t="s">
        <v>20</v>
      </c>
      <c r="B19" s="19">
        <v>46113</v>
      </c>
      <c r="C19" s="20" t="s">
        <v>29</v>
      </c>
      <c r="D19" s="20" t="s">
        <v>46</v>
      </c>
      <c r="E19" s="20" t="s">
        <v>23</v>
      </c>
      <c r="F19" s="20" t="s">
        <v>47</v>
      </c>
      <c r="G19" s="20">
        <v>12500</v>
      </c>
      <c r="H19" s="20">
        <v>0</v>
      </c>
      <c r="I19" s="21">
        <v>32370</v>
      </c>
      <c r="J19" s="21">
        <v>50498</v>
      </c>
      <c r="K19" s="21">
        <v>0</v>
      </c>
      <c r="L19" s="21">
        <v>5584</v>
      </c>
      <c r="M19" s="21">
        <v>2730</v>
      </c>
      <c r="N19" s="21">
        <v>1050</v>
      </c>
      <c r="O19" s="21">
        <v>0</v>
      </c>
      <c r="P19" s="21">
        <v>4413</v>
      </c>
      <c r="Q19" s="21">
        <v>0</v>
      </c>
      <c r="R19" s="21">
        <v>0</v>
      </c>
      <c r="S19" s="21">
        <v>1500</v>
      </c>
      <c r="T19" s="21">
        <v>2343</v>
      </c>
      <c r="U19" s="21">
        <v>0</v>
      </c>
      <c r="V19" s="21"/>
      <c r="W19" s="16">
        <f t="shared" si="0"/>
        <v>100488</v>
      </c>
    </row>
    <row r="20" spans="1:23" s="22" customFormat="1" ht="15" thickBot="1" x14ac:dyDescent="0.4">
      <c r="A20" s="18" t="s">
        <v>20</v>
      </c>
      <c r="B20" s="19">
        <v>46113</v>
      </c>
      <c r="C20" s="20" t="s">
        <v>68</v>
      </c>
      <c r="D20" s="20" t="s">
        <v>46</v>
      </c>
      <c r="E20" s="20" t="s">
        <v>23</v>
      </c>
      <c r="F20" s="20" t="s">
        <v>47</v>
      </c>
      <c r="G20" s="20">
        <v>127392</v>
      </c>
      <c r="H20" s="20">
        <v>0</v>
      </c>
      <c r="I20" s="21">
        <v>3200439</v>
      </c>
      <c r="J20" s="21">
        <v>219123</v>
      </c>
      <c r="K20" s="21">
        <v>0</v>
      </c>
      <c r="L20" s="21">
        <v>210330</v>
      </c>
      <c r="M20" s="21">
        <v>52774</v>
      </c>
      <c r="N20" s="21">
        <v>5000</v>
      </c>
      <c r="O20" s="21">
        <v>0</v>
      </c>
      <c r="P20" s="21">
        <v>1430</v>
      </c>
      <c r="Q20" s="21"/>
      <c r="R20" s="21">
        <v>10500</v>
      </c>
      <c r="S20" s="21"/>
      <c r="T20" s="21">
        <v>10353</v>
      </c>
      <c r="U20" s="21">
        <v>82961</v>
      </c>
      <c r="V20" s="21" t="s">
        <v>48</v>
      </c>
      <c r="W20" s="16">
        <f t="shared" si="0"/>
        <v>3792910</v>
      </c>
    </row>
    <row r="21" spans="1:23" s="22" customFormat="1" ht="15" thickBot="1" x14ac:dyDescent="0.4">
      <c r="A21" s="18" t="s">
        <v>20</v>
      </c>
      <c r="B21" s="19">
        <v>46113</v>
      </c>
      <c r="C21" s="20" t="s">
        <v>49</v>
      </c>
      <c r="D21" s="20" t="s">
        <v>46</v>
      </c>
      <c r="E21" s="20" t="s">
        <v>23</v>
      </c>
      <c r="F21" s="20" t="s">
        <v>47</v>
      </c>
      <c r="G21" s="20">
        <v>10000</v>
      </c>
      <c r="H21" s="20">
        <v>4000</v>
      </c>
      <c r="I21" s="21">
        <v>98281</v>
      </c>
      <c r="J21" s="21">
        <v>37873.5</v>
      </c>
      <c r="K21" s="21">
        <v>0</v>
      </c>
      <c r="L21" s="21">
        <v>7848</v>
      </c>
      <c r="M21" s="21">
        <v>2956</v>
      </c>
      <c r="N21" s="21">
        <v>792</v>
      </c>
      <c r="O21" s="21">
        <v>0</v>
      </c>
      <c r="P21" s="21">
        <v>0</v>
      </c>
      <c r="Q21" s="21">
        <v>7000</v>
      </c>
      <c r="R21" s="21">
        <v>2799</v>
      </c>
      <c r="S21" s="21">
        <v>0</v>
      </c>
      <c r="T21" s="21">
        <v>0</v>
      </c>
      <c r="U21" s="21">
        <v>0</v>
      </c>
      <c r="V21" s="21"/>
      <c r="W21" s="16">
        <f t="shared" si="0"/>
        <v>157549.5</v>
      </c>
    </row>
    <row r="22" spans="1:23" s="22" customFormat="1" ht="15" thickBot="1" x14ac:dyDescent="0.4">
      <c r="A22" s="18" t="s">
        <v>20</v>
      </c>
      <c r="B22" s="19">
        <v>46113</v>
      </c>
      <c r="C22" s="20" t="s">
        <v>50</v>
      </c>
      <c r="D22" s="20" t="s">
        <v>46</v>
      </c>
      <c r="E22" s="20" t="s">
        <v>23</v>
      </c>
      <c r="F22" s="20" t="s">
        <v>47</v>
      </c>
      <c r="G22" s="20">
        <v>15000</v>
      </c>
      <c r="H22" s="20">
        <v>1663</v>
      </c>
      <c r="I22" s="21">
        <v>208964</v>
      </c>
      <c r="J22" s="21">
        <v>37873.5</v>
      </c>
      <c r="K22" s="21">
        <v>0</v>
      </c>
      <c r="L22" s="21">
        <v>7848</v>
      </c>
      <c r="M22" s="21">
        <v>5460</v>
      </c>
      <c r="N22" s="21">
        <v>1572</v>
      </c>
      <c r="O22" s="21">
        <v>0</v>
      </c>
      <c r="P22" s="21">
        <v>12091</v>
      </c>
      <c r="Q22" s="21">
        <v>7000</v>
      </c>
      <c r="R22" s="21">
        <v>5234</v>
      </c>
      <c r="S22" s="21">
        <v>0</v>
      </c>
      <c r="T22" s="21">
        <v>0</v>
      </c>
      <c r="U22" s="21">
        <v>0</v>
      </c>
      <c r="V22" s="21"/>
      <c r="W22" s="16">
        <f t="shared" si="0"/>
        <v>286042.5</v>
      </c>
    </row>
    <row r="23" spans="1:23" s="22" customFormat="1" ht="15" thickBot="1" x14ac:dyDescent="0.4">
      <c r="A23" s="18" t="s">
        <v>20</v>
      </c>
      <c r="B23" s="19">
        <v>46113</v>
      </c>
      <c r="C23" s="20" t="s">
        <v>83</v>
      </c>
      <c r="D23" s="20" t="s">
        <v>82</v>
      </c>
      <c r="E23" s="20" t="s">
        <v>23</v>
      </c>
      <c r="F23" s="20" t="s">
        <v>51</v>
      </c>
      <c r="G23" s="20">
        <v>3000</v>
      </c>
      <c r="H23" s="20">
        <v>0</v>
      </c>
      <c r="I23" s="21">
        <v>73076</v>
      </c>
      <c r="J23" s="21">
        <v>0</v>
      </c>
      <c r="K23" s="21">
        <v>5200</v>
      </c>
      <c r="L23" s="21">
        <v>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16">
        <f t="shared" si="0"/>
        <v>78276</v>
      </c>
    </row>
    <row r="24" spans="1:23" s="22" customFormat="1" ht="15" thickBot="1" x14ac:dyDescent="0.4">
      <c r="A24" s="18" t="s">
        <v>20</v>
      </c>
      <c r="B24" s="19">
        <v>46113</v>
      </c>
      <c r="C24" s="20" t="s">
        <v>85</v>
      </c>
      <c r="D24" s="20" t="s">
        <v>82</v>
      </c>
      <c r="E24" s="20" t="s">
        <v>23</v>
      </c>
      <c r="F24" s="20" t="s">
        <v>51</v>
      </c>
      <c r="G24" s="20">
        <v>37309</v>
      </c>
      <c r="H24" s="20">
        <v>0</v>
      </c>
      <c r="I24" s="21">
        <v>611412</v>
      </c>
      <c r="J24" s="21">
        <v>67483</v>
      </c>
      <c r="K24" s="21">
        <v>0</v>
      </c>
      <c r="L24" s="21">
        <v>55420</v>
      </c>
      <c r="M24" s="21">
        <v>0</v>
      </c>
      <c r="N24" s="21">
        <v>6900</v>
      </c>
      <c r="O24" s="21">
        <v>7630</v>
      </c>
      <c r="P24" s="21">
        <v>12778</v>
      </c>
      <c r="Q24" s="21">
        <v>0</v>
      </c>
      <c r="R24" s="21">
        <v>0</v>
      </c>
      <c r="S24" s="21">
        <v>0</v>
      </c>
      <c r="T24" s="21">
        <v>0</v>
      </c>
      <c r="U24" s="21">
        <v>11200</v>
      </c>
      <c r="V24" s="21" t="s">
        <v>52</v>
      </c>
      <c r="W24" s="16">
        <f t="shared" si="0"/>
        <v>772823</v>
      </c>
    </row>
    <row r="25" spans="1:23" s="23" customFormat="1" ht="12.5" thickBot="1" x14ac:dyDescent="0.4">
      <c r="A25" s="18" t="s">
        <v>20</v>
      </c>
      <c r="B25" s="19">
        <v>46113</v>
      </c>
      <c r="C25" s="20" t="s">
        <v>29</v>
      </c>
      <c r="D25" s="20" t="s">
        <v>80</v>
      </c>
      <c r="E25" s="20" t="s">
        <v>23</v>
      </c>
      <c r="F25" s="20" t="s">
        <v>51</v>
      </c>
      <c r="G25" s="20">
        <v>30000</v>
      </c>
      <c r="H25" s="20">
        <v>0</v>
      </c>
      <c r="I25" s="21">
        <v>111478</v>
      </c>
      <c r="J25" s="21">
        <v>66160</v>
      </c>
      <c r="K25" s="21">
        <v>0</v>
      </c>
      <c r="L25" s="21">
        <v>13360</v>
      </c>
      <c r="M25" s="21">
        <v>2444</v>
      </c>
      <c r="N25" s="21">
        <v>2500</v>
      </c>
      <c r="O25" s="21">
        <v>2214</v>
      </c>
      <c r="P25" s="21">
        <v>12163</v>
      </c>
      <c r="Q25" s="21">
        <v>0</v>
      </c>
      <c r="R25" s="21">
        <v>1380</v>
      </c>
      <c r="S25" s="21">
        <v>1833</v>
      </c>
      <c r="T25" s="21">
        <v>2540</v>
      </c>
      <c r="U25" s="21">
        <v>0</v>
      </c>
      <c r="V25" s="21"/>
      <c r="W25" s="16">
        <f t="shared" si="0"/>
        <v>216072</v>
      </c>
    </row>
    <row r="26" spans="1:23" s="22" customFormat="1" ht="15" thickBot="1" x14ac:dyDescent="0.4">
      <c r="A26" s="18" t="s">
        <v>20</v>
      </c>
      <c r="B26" s="19">
        <v>46113</v>
      </c>
      <c r="C26" s="20" t="s">
        <v>53</v>
      </c>
      <c r="D26" s="20" t="s">
        <v>80</v>
      </c>
      <c r="E26" s="20" t="s">
        <v>23</v>
      </c>
      <c r="F26" s="20" t="s">
        <v>51</v>
      </c>
      <c r="G26" s="20">
        <v>22250</v>
      </c>
      <c r="H26" s="20">
        <v>2178</v>
      </c>
      <c r="I26" s="21">
        <v>111478</v>
      </c>
      <c r="J26" s="21">
        <v>33080</v>
      </c>
      <c r="K26" s="21">
        <v>0</v>
      </c>
      <c r="L26" s="21">
        <v>13360</v>
      </c>
      <c r="M26" s="21">
        <v>2760</v>
      </c>
      <c r="N26" s="21">
        <v>2650</v>
      </c>
      <c r="O26" s="21">
        <v>2214</v>
      </c>
      <c r="P26" s="21">
        <v>0</v>
      </c>
      <c r="Q26" s="21">
        <v>0</v>
      </c>
      <c r="R26" s="21">
        <v>1380</v>
      </c>
      <c r="S26" s="21">
        <v>1833</v>
      </c>
      <c r="T26" s="21">
        <v>2540</v>
      </c>
      <c r="U26" s="21">
        <v>0</v>
      </c>
      <c r="V26" s="21"/>
      <c r="W26" s="16">
        <f t="shared" si="0"/>
        <v>171295</v>
      </c>
    </row>
    <row r="27" spans="1:23" s="22" customFormat="1" ht="15" thickBot="1" x14ac:dyDescent="0.4">
      <c r="A27" s="18" t="s">
        <v>20</v>
      </c>
      <c r="B27" s="19">
        <v>46113</v>
      </c>
      <c r="C27" s="20" t="s">
        <v>54</v>
      </c>
      <c r="D27" s="20" t="s">
        <v>81</v>
      </c>
      <c r="E27" s="20" t="s">
        <v>23</v>
      </c>
      <c r="F27" s="20" t="s">
        <v>51</v>
      </c>
      <c r="G27" s="20">
        <v>187220</v>
      </c>
      <c r="H27" s="20">
        <v>0</v>
      </c>
      <c r="I27" s="21">
        <v>1602351</v>
      </c>
      <c r="J27" s="21">
        <v>260087</v>
      </c>
      <c r="K27" s="21">
        <v>106840</v>
      </c>
      <c r="L27" s="21">
        <v>136480</v>
      </c>
      <c r="M27" s="21">
        <v>33246</v>
      </c>
      <c r="N27" s="21">
        <v>27750</v>
      </c>
      <c r="O27" s="21">
        <v>95105</v>
      </c>
      <c r="P27" s="21">
        <v>9591</v>
      </c>
      <c r="Q27" s="21">
        <v>25500</v>
      </c>
      <c r="R27" s="21">
        <v>19175</v>
      </c>
      <c r="S27" s="21">
        <v>15000</v>
      </c>
      <c r="T27" s="21">
        <v>8654</v>
      </c>
      <c r="U27" s="21">
        <v>4000</v>
      </c>
      <c r="V27" s="21" t="s">
        <v>55</v>
      </c>
      <c r="W27" s="16">
        <f t="shared" si="0"/>
        <v>2343779</v>
      </c>
    </row>
    <row r="28" spans="1:23" s="22" customFormat="1" ht="15" thickBot="1" x14ac:dyDescent="0.4">
      <c r="A28" s="18" t="s">
        <v>20</v>
      </c>
      <c r="B28" s="19">
        <v>46113</v>
      </c>
      <c r="C28" s="20" t="s">
        <v>56</v>
      </c>
      <c r="D28" s="20" t="s">
        <v>81</v>
      </c>
      <c r="E28" s="20" t="s">
        <v>23</v>
      </c>
      <c r="F28" s="20" t="s">
        <v>51</v>
      </c>
      <c r="G28" s="20">
        <v>12500</v>
      </c>
      <c r="H28" s="20">
        <v>0</v>
      </c>
      <c r="I28" s="21">
        <v>895563</v>
      </c>
      <c r="J28" s="21">
        <v>65021</v>
      </c>
      <c r="K28" s="21">
        <v>92950</v>
      </c>
      <c r="L28" s="21">
        <v>34120</v>
      </c>
      <c r="M28" s="21">
        <v>33246</v>
      </c>
      <c r="N28" s="21">
        <v>7200</v>
      </c>
      <c r="O28" s="21">
        <v>58000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/>
      <c r="W28" s="16">
        <f t="shared" si="0"/>
        <v>1186100</v>
      </c>
    </row>
    <row r="29" spans="1:23" s="22" customFormat="1" ht="15" thickBot="1" x14ac:dyDescent="0.4">
      <c r="A29" s="18" t="s">
        <v>20</v>
      </c>
      <c r="B29" s="19">
        <v>46113</v>
      </c>
      <c r="C29" s="20" t="s">
        <v>57</v>
      </c>
      <c r="D29" s="20" t="s">
        <v>84</v>
      </c>
      <c r="E29" s="20" t="s">
        <v>23</v>
      </c>
      <c r="F29" s="20" t="s">
        <v>51</v>
      </c>
      <c r="G29" s="20">
        <v>18568</v>
      </c>
      <c r="H29" s="20">
        <v>0</v>
      </c>
      <c r="I29" s="21">
        <v>29221</v>
      </c>
      <c r="J29" s="21">
        <v>30988</v>
      </c>
      <c r="K29" s="21">
        <f>2600+253875</f>
        <v>256475</v>
      </c>
      <c r="L29" s="21">
        <v>52897</v>
      </c>
      <c r="M29" s="21">
        <v>3500</v>
      </c>
      <c r="N29" s="21">
        <v>5800</v>
      </c>
      <c r="O29" s="21">
        <v>1960</v>
      </c>
      <c r="P29" s="21">
        <v>0</v>
      </c>
      <c r="Q29" s="21">
        <v>3433.3333333333335</v>
      </c>
      <c r="R29" s="21">
        <v>0</v>
      </c>
      <c r="S29" s="21">
        <v>1600</v>
      </c>
      <c r="T29" s="21">
        <v>1805.3333333333333</v>
      </c>
      <c r="U29" s="21"/>
      <c r="V29" s="21"/>
      <c r="W29" s="16">
        <f t="shared" si="0"/>
        <v>387679.66666666663</v>
      </c>
    </row>
    <row r="30" spans="1:23" s="22" customFormat="1" ht="15" thickBot="1" x14ac:dyDescent="0.4">
      <c r="A30" s="18" t="s">
        <v>20</v>
      </c>
      <c r="B30" s="19">
        <v>46113</v>
      </c>
      <c r="C30" s="20" t="s">
        <v>39</v>
      </c>
      <c r="D30" s="20" t="s">
        <v>84</v>
      </c>
      <c r="E30" s="20" t="s">
        <v>23</v>
      </c>
      <c r="F30" s="20" t="s">
        <v>51</v>
      </c>
      <c r="G30" s="20">
        <v>8725</v>
      </c>
      <c r="H30" s="20">
        <v>3957</v>
      </c>
      <c r="I30" s="21">
        <v>101100</v>
      </c>
      <c r="J30" s="21">
        <v>30988</v>
      </c>
      <c r="K30" s="21">
        <v>95550</v>
      </c>
      <c r="L30" s="21">
        <v>52897</v>
      </c>
      <c r="M30" s="21">
        <v>2450</v>
      </c>
      <c r="N30" s="21">
        <v>3200</v>
      </c>
      <c r="O30" s="21">
        <v>15094</v>
      </c>
      <c r="P30" s="21">
        <v>5000</v>
      </c>
      <c r="Q30" s="21">
        <v>3433.3333333333335</v>
      </c>
      <c r="R30" s="21">
        <v>2568</v>
      </c>
      <c r="S30" s="21">
        <v>1600</v>
      </c>
      <c r="T30" s="21">
        <v>1805.3333333333333</v>
      </c>
      <c r="U30" s="21"/>
      <c r="V30" s="21"/>
      <c r="W30" s="16">
        <f t="shared" si="0"/>
        <v>315685.66666666663</v>
      </c>
    </row>
    <row r="31" spans="1:23" s="22" customFormat="1" ht="15" thickBot="1" x14ac:dyDescent="0.4">
      <c r="A31" s="18" t="s">
        <v>20</v>
      </c>
      <c r="B31" s="19">
        <v>46113</v>
      </c>
      <c r="C31" s="20" t="s">
        <v>33</v>
      </c>
      <c r="D31" s="20" t="s">
        <v>84</v>
      </c>
      <c r="E31" s="20" t="s">
        <v>23</v>
      </c>
      <c r="F31" s="20" t="s">
        <v>51</v>
      </c>
      <c r="G31" s="20">
        <v>35000</v>
      </c>
      <c r="H31" s="20">
        <v>0</v>
      </c>
      <c r="I31" s="21">
        <v>4133204</v>
      </c>
      <c r="J31" s="21">
        <v>464829</v>
      </c>
      <c r="K31" s="21">
        <v>359750</v>
      </c>
      <c r="L31" s="21">
        <v>52897</v>
      </c>
      <c r="M31" s="21">
        <v>45079</v>
      </c>
      <c r="N31" s="21">
        <v>75900</v>
      </c>
      <c r="O31" s="21">
        <v>22802</v>
      </c>
      <c r="P31" s="21">
        <v>14020</v>
      </c>
      <c r="Q31" s="21">
        <v>3433.3333333333335</v>
      </c>
      <c r="R31" s="21">
        <v>10652</v>
      </c>
      <c r="S31" s="21">
        <v>1600</v>
      </c>
      <c r="T31" s="21">
        <v>1805.3333333333333</v>
      </c>
      <c r="U31" s="21">
        <v>3730</v>
      </c>
      <c r="V31" s="21" t="s">
        <v>58</v>
      </c>
      <c r="W31" s="16">
        <f t="shared" si="0"/>
        <v>5189701.666666666</v>
      </c>
    </row>
    <row r="32" spans="1:23" s="22" customFormat="1" ht="15" thickBot="1" x14ac:dyDescent="0.4">
      <c r="A32" s="18" t="s">
        <v>20</v>
      </c>
      <c r="B32" s="19">
        <v>46113</v>
      </c>
      <c r="C32" s="20" t="s">
        <v>33</v>
      </c>
      <c r="D32" s="20" t="s">
        <v>59</v>
      </c>
      <c r="E32" s="20" t="s">
        <v>32</v>
      </c>
      <c r="F32" s="20" t="s">
        <v>51</v>
      </c>
      <c r="G32" s="20">
        <v>30094</v>
      </c>
      <c r="H32" s="20">
        <v>0</v>
      </c>
      <c r="I32" s="21">
        <v>3179120</v>
      </c>
      <c r="J32" s="21">
        <v>354891</v>
      </c>
      <c r="K32" s="21">
        <v>232000</v>
      </c>
      <c r="L32" s="21">
        <v>71888</v>
      </c>
      <c r="M32" s="21">
        <v>20196</v>
      </c>
      <c r="N32" s="21">
        <v>19206</v>
      </c>
      <c r="O32" s="21">
        <v>21251</v>
      </c>
      <c r="P32" s="21">
        <v>10130</v>
      </c>
      <c r="Q32" s="21">
        <v>5000</v>
      </c>
      <c r="R32" s="21">
        <v>10973</v>
      </c>
      <c r="S32" s="21">
        <v>0</v>
      </c>
      <c r="T32" s="21">
        <v>2917</v>
      </c>
      <c r="U32" s="21">
        <v>6840</v>
      </c>
      <c r="V32" s="21" t="s">
        <v>58</v>
      </c>
      <c r="W32" s="16">
        <f t="shared" si="0"/>
        <v>3934412</v>
      </c>
    </row>
    <row r="33" spans="1:23" s="22" customFormat="1" ht="15" thickBot="1" x14ac:dyDescent="0.4">
      <c r="A33" s="18" t="s">
        <v>20</v>
      </c>
      <c r="B33" s="19">
        <v>46113</v>
      </c>
      <c r="C33" s="20" t="s">
        <v>33</v>
      </c>
      <c r="D33" s="20" t="s">
        <v>60</v>
      </c>
      <c r="E33" s="20" t="s">
        <v>23</v>
      </c>
      <c r="F33" s="20" t="s">
        <v>51</v>
      </c>
      <c r="G33" s="20">
        <v>62000</v>
      </c>
      <c r="H33" s="20">
        <v>0</v>
      </c>
      <c r="I33" s="21">
        <v>2584690.9699999997</v>
      </c>
      <c r="J33" s="20">
        <v>739229</v>
      </c>
      <c r="K33" s="21">
        <v>141400</v>
      </c>
      <c r="L33" s="21">
        <v>60682</v>
      </c>
      <c r="M33" s="21">
        <v>53436</v>
      </c>
      <c r="N33" s="21">
        <v>23274</v>
      </c>
      <c r="O33" s="21">
        <v>7017</v>
      </c>
      <c r="P33" s="21">
        <v>8695</v>
      </c>
      <c r="Q33" s="21">
        <v>15000</v>
      </c>
      <c r="R33" s="21">
        <v>32600</v>
      </c>
      <c r="S33" s="21">
        <v>0</v>
      </c>
      <c r="T33" s="21">
        <v>6042</v>
      </c>
      <c r="U33" s="21">
        <v>7296</v>
      </c>
      <c r="V33" s="21" t="s">
        <v>58</v>
      </c>
      <c r="W33" s="16">
        <f t="shared" si="0"/>
        <v>3679361.9699999997</v>
      </c>
    </row>
    <row r="34" spans="1:23" s="22" customFormat="1" ht="15" thickBot="1" x14ac:dyDescent="0.4">
      <c r="A34" s="18" t="s">
        <v>20</v>
      </c>
      <c r="B34" s="19">
        <v>46113</v>
      </c>
      <c r="C34" s="20" t="s">
        <v>61</v>
      </c>
      <c r="D34" s="20" t="s">
        <v>62</v>
      </c>
      <c r="E34" s="20" t="s">
        <v>32</v>
      </c>
      <c r="F34" s="20" t="s">
        <v>63</v>
      </c>
      <c r="G34" s="20">
        <v>1306800</v>
      </c>
      <c r="H34" s="20">
        <v>0</v>
      </c>
      <c r="I34" s="21">
        <v>75245</v>
      </c>
      <c r="J34" s="21">
        <v>186000</v>
      </c>
      <c r="K34" s="21">
        <v>0</v>
      </c>
      <c r="L34" s="21">
        <v>11877</v>
      </c>
      <c r="M34" s="21">
        <v>0</v>
      </c>
      <c r="N34" s="21"/>
      <c r="O34" s="21">
        <v>15850</v>
      </c>
      <c r="P34" s="21"/>
      <c r="Q34" s="21"/>
      <c r="R34" s="21"/>
      <c r="S34" s="21"/>
      <c r="T34" s="21"/>
      <c r="U34" s="21"/>
      <c r="V34" s="21"/>
      <c r="W34" s="16">
        <f t="shared" si="0"/>
        <v>288972</v>
      </c>
    </row>
    <row r="35" spans="1:23" s="23" customFormat="1" ht="12.5" thickBot="1" x14ac:dyDescent="0.4">
      <c r="A35" s="18" t="s">
        <v>20</v>
      </c>
      <c r="B35" s="19">
        <v>46113</v>
      </c>
      <c r="C35" s="20" t="s">
        <v>85</v>
      </c>
      <c r="D35" s="20" t="s">
        <v>64</v>
      </c>
      <c r="E35" s="20" t="s">
        <v>32</v>
      </c>
      <c r="F35" s="20" t="s">
        <v>63</v>
      </c>
      <c r="G35" s="20">
        <v>11000</v>
      </c>
      <c r="H35" s="20">
        <v>0</v>
      </c>
      <c r="I35" s="21">
        <v>295888</v>
      </c>
      <c r="J35" s="21">
        <v>59568</v>
      </c>
      <c r="K35" s="21">
        <v>0</v>
      </c>
      <c r="L35" s="21">
        <v>3324</v>
      </c>
      <c r="M35" s="21">
        <v>6136</v>
      </c>
      <c r="N35" s="21">
        <v>2400</v>
      </c>
      <c r="O35" s="21">
        <v>2537</v>
      </c>
      <c r="P35" s="21">
        <v>12587</v>
      </c>
      <c r="Q35" s="21">
        <v>0</v>
      </c>
      <c r="R35" s="21">
        <v>0</v>
      </c>
      <c r="S35" s="21">
        <v>777</v>
      </c>
      <c r="T35" s="21">
        <v>0</v>
      </c>
      <c r="U35" s="21">
        <v>1700</v>
      </c>
      <c r="V35" s="21"/>
      <c r="W35" s="16">
        <f t="shared" si="0"/>
        <v>384917</v>
      </c>
    </row>
    <row r="36" spans="1:23" s="22" customFormat="1" ht="15" thickBot="1" x14ac:dyDescent="0.4">
      <c r="A36" s="18" t="s">
        <v>20</v>
      </c>
      <c r="B36" s="19">
        <v>46113</v>
      </c>
      <c r="C36" s="20" t="s">
        <v>65</v>
      </c>
      <c r="D36" s="20" t="s">
        <v>66</v>
      </c>
      <c r="E36" s="20" t="s">
        <v>23</v>
      </c>
      <c r="F36" s="20" t="s">
        <v>63</v>
      </c>
      <c r="G36" s="20">
        <v>49100</v>
      </c>
      <c r="H36" s="20">
        <v>300</v>
      </c>
      <c r="I36" s="21">
        <v>269246</v>
      </c>
      <c r="J36" s="21">
        <v>14386.666666666666</v>
      </c>
      <c r="K36" s="21">
        <v>0</v>
      </c>
      <c r="L36" s="21">
        <v>36234.75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/>
      <c r="T36" s="21">
        <v>0</v>
      </c>
      <c r="U36" s="21"/>
      <c r="V36" s="21"/>
      <c r="W36" s="16">
        <f t="shared" si="0"/>
        <v>319867.41666666669</v>
      </c>
    </row>
    <row r="37" spans="1:23" s="22" customFormat="1" ht="15" thickBot="1" x14ac:dyDescent="0.4">
      <c r="A37" s="18" t="s">
        <v>20</v>
      </c>
      <c r="B37" s="19">
        <v>46113</v>
      </c>
      <c r="C37" s="20" t="s">
        <v>67</v>
      </c>
      <c r="D37" s="20" t="s">
        <v>66</v>
      </c>
      <c r="E37" s="20" t="s">
        <v>23</v>
      </c>
      <c r="F37" s="20" t="s">
        <v>63</v>
      </c>
      <c r="G37" s="20">
        <v>3200</v>
      </c>
      <c r="H37" s="20">
        <v>0</v>
      </c>
      <c r="I37" s="21">
        <v>0</v>
      </c>
      <c r="J37" s="21">
        <v>14386.666666666666</v>
      </c>
      <c r="K37" s="21">
        <v>0</v>
      </c>
      <c r="L37" s="21">
        <v>36234.75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/>
      <c r="W37" s="16">
        <f t="shared" si="0"/>
        <v>50621.416666666664</v>
      </c>
    </row>
    <row r="38" spans="1:23" s="22" customFormat="1" ht="15" thickBot="1" x14ac:dyDescent="0.4">
      <c r="A38" s="18" t="s">
        <v>20</v>
      </c>
      <c r="B38" s="19">
        <v>46113</v>
      </c>
      <c r="C38" s="20" t="s">
        <v>83</v>
      </c>
      <c r="D38" s="20" t="s">
        <v>66</v>
      </c>
      <c r="E38" s="20" t="s">
        <v>23</v>
      </c>
      <c r="F38" s="20" t="s">
        <v>63</v>
      </c>
      <c r="G38" s="20">
        <v>1000</v>
      </c>
      <c r="H38" s="20">
        <v>0</v>
      </c>
      <c r="I38" s="21">
        <v>208190</v>
      </c>
      <c r="J38" s="21">
        <v>43160</v>
      </c>
      <c r="K38" s="21">
        <v>0</v>
      </c>
      <c r="L38" s="21">
        <v>36234.75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/>
      <c r="W38" s="16">
        <f t="shared" si="0"/>
        <v>287584.75</v>
      </c>
    </row>
    <row r="39" spans="1:23" s="22" customFormat="1" ht="15" thickBot="1" x14ac:dyDescent="0.4">
      <c r="A39" s="18" t="s">
        <v>20</v>
      </c>
      <c r="B39" s="19">
        <v>46113</v>
      </c>
      <c r="C39" s="20" t="s">
        <v>68</v>
      </c>
      <c r="D39" s="20" t="s">
        <v>69</v>
      </c>
      <c r="E39" s="20" t="s">
        <v>32</v>
      </c>
      <c r="F39" s="20" t="s">
        <v>63</v>
      </c>
      <c r="G39" s="20">
        <v>108561</v>
      </c>
      <c r="H39" s="20">
        <v>0</v>
      </c>
      <c r="I39" s="21">
        <v>2766648</v>
      </c>
      <c r="J39" s="21">
        <v>424323.37</v>
      </c>
      <c r="K39" s="21">
        <v>0</v>
      </c>
      <c r="L39" s="21">
        <v>177377</v>
      </c>
      <c r="M39" s="21">
        <v>0</v>
      </c>
      <c r="N39" s="21">
        <v>10890</v>
      </c>
      <c r="O39" s="21">
        <v>9375</v>
      </c>
      <c r="P39" s="21">
        <v>9266</v>
      </c>
      <c r="Q39" s="21">
        <v>8000</v>
      </c>
      <c r="R39" s="21">
        <v>0</v>
      </c>
      <c r="S39" s="21">
        <v>0</v>
      </c>
      <c r="T39" s="21">
        <v>9584</v>
      </c>
      <c r="U39" s="21">
        <v>280749</v>
      </c>
      <c r="V39" s="21"/>
      <c r="W39" s="16">
        <f t="shared" si="0"/>
        <v>3696212.37</v>
      </c>
    </row>
    <row r="40" spans="1:23" s="22" customFormat="1" ht="15" thickBot="1" x14ac:dyDescent="0.4">
      <c r="A40" s="18" t="s">
        <v>20</v>
      </c>
      <c r="B40" s="19">
        <v>46113</v>
      </c>
      <c r="C40" s="20" t="s">
        <v>39</v>
      </c>
      <c r="D40" s="20" t="s">
        <v>66</v>
      </c>
      <c r="E40" s="20" t="s">
        <v>23</v>
      </c>
      <c r="F40" s="20" t="s">
        <v>63</v>
      </c>
      <c r="G40" s="20">
        <v>6000</v>
      </c>
      <c r="H40" s="20">
        <v>0</v>
      </c>
      <c r="I40" s="21">
        <v>57558</v>
      </c>
      <c r="J40" s="21">
        <v>14386.666666666666</v>
      </c>
      <c r="K40" s="21">
        <v>100100</v>
      </c>
      <c r="L40" s="21">
        <v>36234.75</v>
      </c>
      <c r="M40" s="21">
        <v>0</v>
      </c>
      <c r="N40" s="21">
        <v>0</v>
      </c>
      <c r="O40" s="21">
        <v>2168</v>
      </c>
      <c r="P40" s="21">
        <v>0</v>
      </c>
      <c r="Q40" s="21">
        <v>0</v>
      </c>
      <c r="R40" s="21">
        <v>0</v>
      </c>
      <c r="S40" s="21"/>
      <c r="T40" s="21">
        <v>0</v>
      </c>
      <c r="U40" s="21">
        <v>0</v>
      </c>
      <c r="V40" s="21"/>
      <c r="W40" s="16">
        <f t="shared" si="0"/>
        <v>210447.41666666669</v>
      </c>
    </row>
    <row r="41" spans="1:23" s="22" customFormat="1" ht="15" thickBot="1" x14ac:dyDescent="0.4">
      <c r="A41" s="18" t="s">
        <v>20</v>
      </c>
      <c r="B41" s="19">
        <v>46113</v>
      </c>
      <c r="C41" s="20" t="s">
        <v>70</v>
      </c>
      <c r="D41" s="20" t="s">
        <v>71</v>
      </c>
      <c r="E41" s="20" t="s">
        <v>32</v>
      </c>
      <c r="F41" s="20" t="s">
        <v>63</v>
      </c>
      <c r="G41" s="20">
        <v>30000</v>
      </c>
      <c r="H41" s="20">
        <v>0</v>
      </c>
      <c r="I41" s="21">
        <v>873433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75433</v>
      </c>
      <c r="V41" s="21"/>
      <c r="W41" s="16">
        <f t="shared" si="0"/>
        <v>948866</v>
      </c>
    </row>
    <row r="42" spans="1:23" s="29" customFormat="1" ht="12.5" thickBot="1" x14ac:dyDescent="0.4">
      <c r="A42" s="25" t="s">
        <v>20</v>
      </c>
      <c r="B42" s="26">
        <v>46113</v>
      </c>
      <c r="C42" s="27" t="s">
        <v>85</v>
      </c>
      <c r="D42" s="27" t="s">
        <v>72</v>
      </c>
      <c r="E42" s="27" t="s">
        <v>32</v>
      </c>
      <c r="F42" s="27" t="s">
        <v>63</v>
      </c>
      <c r="G42" s="27">
        <v>21000</v>
      </c>
      <c r="H42" s="27">
        <v>0</v>
      </c>
      <c r="I42" s="28">
        <v>535557</v>
      </c>
      <c r="J42" s="28">
        <v>69561</v>
      </c>
      <c r="K42" s="28">
        <v>43884</v>
      </c>
      <c r="L42" s="28">
        <v>16882</v>
      </c>
      <c r="M42" s="28">
        <v>5526</v>
      </c>
      <c r="N42" s="28">
        <v>2462</v>
      </c>
      <c r="O42" s="28">
        <v>2700</v>
      </c>
      <c r="P42" s="28">
        <v>9450</v>
      </c>
      <c r="Q42" s="28">
        <v>0</v>
      </c>
      <c r="R42" s="28">
        <v>0</v>
      </c>
      <c r="S42" s="28">
        <v>1400</v>
      </c>
      <c r="T42" s="28">
        <v>0</v>
      </c>
      <c r="U42" s="28">
        <v>0</v>
      </c>
      <c r="V42" s="28"/>
      <c r="W42" s="16">
        <f t="shared" si="0"/>
        <v>687422</v>
      </c>
    </row>
    <row r="43" spans="1:23" s="35" customFormat="1" ht="12.5" thickBot="1" x14ac:dyDescent="0.4">
      <c r="A43" s="30" t="s">
        <v>20</v>
      </c>
      <c r="B43" s="31">
        <v>46143</v>
      </c>
      <c r="C43" s="32" t="s">
        <v>21</v>
      </c>
      <c r="D43" s="32" t="s">
        <v>22</v>
      </c>
      <c r="E43" s="32" t="s">
        <v>23</v>
      </c>
      <c r="F43" s="32" t="s">
        <v>42</v>
      </c>
      <c r="G43" s="32">
        <v>11702</v>
      </c>
      <c r="H43" s="32">
        <v>0</v>
      </c>
      <c r="I43" s="32">
        <v>129180</v>
      </c>
      <c r="J43" s="32">
        <v>94509</v>
      </c>
      <c r="K43" s="32">
        <v>0</v>
      </c>
      <c r="L43" s="33">
        <f>24982/4</f>
        <v>6245.5</v>
      </c>
      <c r="M43" s="32">
        <v>4744</v>
      </c>
      <c r="N43" s="32">
        <v>3040</v>
      </c>
      <c r="O43" s="32">
        <v>32035</v>
      </c>
      <c r="P43" s="32">
        <v>0</v>
      </c>
      <c r="Q43" s="32">
        <v>0</v>
      </c>
      <c r="R43" s="32">
        <v>0</v>
      </c>
      <c r="S43" s="32">
        <v>3125</v>
      </c>
      <c r="T43" s="32">
        <v>2500</v>
      </c>
      <c r="U43" s="32">
        <v>5000</v>
      </c>
      <c r="V43" s="32" t="s">
        <v>73</v>
      </c>
      <c r="W43" s="34">
        <f t="shared" si="0"/>
        <v>280378.5</v>
      </c>
    </row>
    <row r="44" spans="1:23" s="40" customFormat="1" ht="15" thickBot="1" x14ac:dyDescent="0.4">
      <c r="A44" s="36" t="s">
        <v>20</v>
      </c>
      <c r="B44" s="37">
        <v>46143</v>
      </c>
      <c r="C44" s="38" t="s">
        <v>26</v>
      </c>
      <c r="D44" s="38" t="s">
        <v>22</v>
      </c>
      <c r="E44" s="38" t="s">
        <v>23</v>
      </c>
      <c r="F44" s="38" t="s">
        <v>42</v>
      </c>
      <c r="G44" s="38">
        <v>15000</v>
      </c>
      <c r="H44" s="38">
        <v>4000</v>
      </c>
      <c r="I44" s="38">
        <v>511756</v>
      </c>
      <c r="J44" s="39">
        <v>56632.5</v>
      </c>
      <c r="K44" s="38">
        <v>0</v>
      </c>
      <c r="L44" s="39">
        <v>6246</v>
      </c>
      <c r="M44" s="38">
        <v>12484</v>
      </c>
      <c r="N44" s="38">
        <v>6800</v>
      </c>
      <c r="O44" s="38">
        <v>56404</v>
      </c>
      <c r="P44" s="38">
        <v>5000</v>
      </c>
      <c r="Q44" s="38">
        <v>3334</v>
      </c>
      <c r="R44" s="38">
        <v>10950</v>
      </c>
      <c r="S44" s="38">
        <v>3125</v>
      </c>
      <c r="T44" s="38">
        <v>2500</v>
      </c>
      <c r="U44" s="38">
        <v>0</v>
      </c>
      <c r="V44" s="38"/>
      <c r="W44" s="34">
        <f t="shared" si="0"/>
        <v>675231.5</v>
      </c>
    </row>
    <row r="45" spans="1:23" s="40" customFormat="1" ht="15" thickBot="1" x14ac:dyDescent="0.4">
      <c r="A45" s="36" t="s">
        <v>20</v>
      </c>
      <c r="B45" s="37">
        <v>46143</v>
      </c>
      <c r="C45" s="38" t="s">
        <v>28</v>
      </c>
      <c r="D45" s="38" t="s">
        <v>22</v>
      </c>
      <c r="E45" s="38" t="s">
        <v>23</v>
      </c>
      <c r="F45" s="38" t="s">
        <v>42</v>
      </c>
      <c r="G45" s="38">
        <v>11014</v>
      </c>
      <c r="H45" s="38">
        <v>0</v>
      </c>
      <c r="I45" s="38">
        <v>95403</v>
      </c>
      <c r="J45" s="38">
        <v>0</v>
      </c>
      <c r="K45" s="38">
        <v>0</v>
      </c>
      <c r="L45" s="39">
        <v>6246</v>
      </c>
      <c r="M45" s="38">
        <v>2056</v>
      </c>
      <c r="N45" s="38">
        <v>0</v>
      </c>
      <c r="O45" s="38">
        <v>0</v>
      </c>
      <c r="P45" s="38">
        <v>0</v>
      </c>
      <c r="Q45" s="38">
        <v>3334</v>
      </c>
      <c r="R45" s="38">
        <v>0</v>
      </c>
      <c r="S45" s="38">
        <v>3125</v>
      </c>
      <c r="T45" s="38">
        <v>2500</v>
      </c>
      <c r="U45" s="38">
        <v>0</v>
      </c>
      <c r="V45" s="38"/>
      <c r="W45" s="34">
        <f t="shared" si="0"/>
        <v>112664</v>
      </c>
    </row>
    <row r="46" spans="1:23" s="41" customFormat="1" ht="12.5" thickBot="1" x14ac:dyDescent="0.4">
      <c r="A46" s="36" t="s">
        <v>20</v>
      </c>
      <c r="B46" s="37">
        <v>46143</v>
      </c>
      <c r="C46" s="38" t="s">
        <v>29</v>
      </c>
      <c r="D46" s="38" t="s">
        <v>22</v>
      </c>
      <c r="E46" s="38" t="s">
        <v>23</v>
      </c>
      <c r="F46" s="38" t="s">
        <v>42</v>
      </c>
      <c r="G46" s="38">
        <v>14565</v>
      </c>
      <c r="H46" s="38">
        <v>10000</v>
      </c>
      <c r="I46" s="38">
        <v>48935</v>
      </c>
      <c r="J46" s="39">
        <v>56632.5</v>
      </c>
      <c r="K46" s="38">
        <v>12844</v>
      </c>
      <c r="L46" s="39">
        <v>6246</v>
      </c>
      <c r="M46" s="38">
        <v>8314</v>
      </c>
      <c r="N46" s="38">
        <v>6680</v>
      </c>
      <c r="O46" s="38">
        <v>14980</v>
      </c>
      <c r="P46" s="38">
        <v>0</v>
      </c>
      <c r="Q46" s="38">
        <v>3334</v>
      </c>
      <c r="R46" s="38">
        <v>4000</v>
      </c>
      <c r="S46" s="38">
        <v>3125</v>
      </c>
      <c r="T46" s="38">
        <v>2500</v>
      </c>
      <c r="U46" s="38">
        <v>0</v>
      </c>
      <c r="V46" s="38"/>
      <c r="W46" s="34">
        <f t="shared" si="0"/>
        <v>167590.5</v>
      </c>
    </row>
    <row r="47" spans="1:23" s="41" customFormat="1" ht="12.5" thickBot="1" x14ac:dyDescent="0.4">
      <c r="A47" s="36" t="s">
        <v>20</v>
      </c>
      <c r="B47" s="37">
        <v>46143</v>
      </c>
      <c r="C47" s="38" t="s">
        <v>85</v>
      </c>
      <c r="D47" s="38" t="s">
        <v>31</v>
      </c>
      <c r="E47" s="38" t="s">
        <v>32</v>
      </c>
      <c r="F47" s="38" t="s">
        <v>42</v>
      </c>
      <c r="G47" s="38">
        <v>10437</v>
      </c>
      <c r="H47" s="38">
        <v>0</v>
      </c>
      <c r="I47" s="38">
        <v>238310</v>
      </c>
      <c r="J47" s="38">
        <v>52662</v>
      </c>
      <c r="K47" s="38">
        <v>0</v>
      </c>
      <c r="L47" s="39">
        <v>2541</v>
      </c>
      <c r="M47" s="38">
        <v>3516</v>
      </c>
      <c r="N47" s="38">
        <v>2100</v>
      </c>
      <c r="O47" s="38">
        <v>3850</v>
      </c>
      <c r="P47" s="38">
        <v>5000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/>
      <c r="W47" s="34">
        <f t="shared" si="0"/>
        <v>307979</v>
      </c>
    </row>
    <row r="48" spans="1:23" s="40" customFormat="1" ht="15" thickBot="1" x14ac:dyDescent="0.4">
      <c r="A48" s="36" t="s">
        <v>20</v>
      </c>
      <c r="B48" s="37">
        <v>46143</v>
      </c>
      <c r="C48" s="38" t="s">
        <v>33</v>
      </c>
      <c r="D48" s="38" t="s">
        <v>34</v>
      </c>
      <c r="E48" s="38" t="s">
        <v>32</v>
      </c>
      <c r="F48" s="38" t="s">
        <v>42</v>
      </c>
      <c r="G48" s="38">
        <v>40000</v>
      </c>
      <c r="H48" s="38">
        <v>0</v>
      </c>
      <c r="I48" s="38">
        <v>3072714</v>
      </c>
      <c r="J48" s="38">
        <v>428252</v>
      </c>
      <c r="K48" s="38">
        <v>0</v>
      </c>
      <c r="L48" s="39">
        <v>65000</v>
      </c>
      <c r="M48" s="38">
        <v>28757</v>
      </c>
      <c r="N48" s="38">
        <v>16140</v>
      </c>
      <c r="O48" s="38">
        <v>34703</v>
      </c>
      <c r="P48" s="38">
        <v>5000</v>
      </c>
      <c r="Q48" s="38">
        <v>15000</v>
      </c>
      <c r="R48" s="38">
        <v>0</v>
      </c>
      <c r="S48" s="38">
        <v>15000</v>
      </c>
      <c r="T48" s="38">
        <v>4200</v>
      </c>
      <c r="U48" s="38">
        <v>2400</v>
      </c>
      <c r="V48" s="38" t="s">
        <v>74</v>
      </c>
      <c r="W48" s="34">
        <f t="shared" si="0"/>
        <v>3687166</v>
      </c>
    </row>
    <row r="49" spans="1:23" s="41" customFormat="1" ht="12.5" thickBot="1" x14ac:dyDescent="0.4">
      <c r="A49" s="36" t="s">
        <v>20</v>
      </c>
      <c r="B49" s="37">
        <v>46143</v>
      </c>
      <c r="C49" s="38" t="s">
        <v>89</v>
      </c>
      <c r="D49" s="38" t="s">
        <v>37</v>
      </c>
      <c r="E49" s="38" t="s">
        <v>23</v>
      </c>
      <c r="F49" s="38" t="s">
        <v>42</v>
      </c>
      <c r="G49" s="38">
        <v>5000</v>
      </c>
      <c r="H49" s="38">
        <v>0</v>
      </c>
      <c r="I49" s="39">
        <v>194563</v>
      </c>
      <c r="J49" s="39">
        <v>35376</v>
      </c>
      <c r="K49" s="38">
        <v>78975</v>
      </c>
      <c r="L49" s="39">
        <v>0</v>
      </c>
      <c r="M49" s="38">
        <v>2408</v>
      </c>
      <c r="N49" s="38">
        <v>1679</v>
      </c>
      <c r="O49" s="39">
        <f>4300/3</f>
        <v>1433.3333333333333</v>
      </c>
      <c r="P49" s="38">
        <v>1000</v>
      </c>
      <c r="Q49" s="38">
        <v>2333</v>
      </c>
      <c r="R49" s="38">
        <v>0</v>
      </c>
      <c r="S49" s="38">
        <v>1333</v>
      </c>
      <c r="T49" s="38">
        <v>1770</v>
      </c>
      <c r="U49" s="38">
        <v>0</v>
      </c>
      <c r="V49" s="38"/>
      <c r="W49" s="34">
        <f t="shared" si="0"/>
        <v>320870.33333333331</v>
      </c>
    </row>
    <row r="50" spans="1:23" s="40" customFormat="1" ht="15" thickBot="1" x14ac:dyDescent="0.4">
      <c r="A50" s="36" t="s">
        <v>20</v>
      </c>
      <c r="B50" s="37">
        <v>46143</v>
      </c>
      <c r="C50" s="38" t="s">
        <v>39</v>
      </c>
      <c r="D50" s="38" t="s">
        <v>37</v>
      </c>
      <c r="E50" s="38" t="s">
        <v>23</v>
      </c>
      <c r="F50" s="38" t="s">
        <v>42</v>
      </c>
      <c r="G50" s="38">
        <v>7000</v>
      </c>
      <c r="H50" s="38">
        <v>3000</v>
      </c>
      <c r="I50" s="39">
        <v>212499</v>
      </c>
      <c r="J50" s="39">
        <v>35376</v>
      </c>
      <c r="K50" s="38">
        <v>0</v>
      </c>
      <c r="L50" s="39">
        <v>0</v>
      </c>
      <c r="M50" s="38">
        <v>3128</v>
      </c>
      <c r="N50" s="38">
        <v>1679</v>
      </c>
      <c r="O50" s="38">
        <v>1433</v>
      </c>
      <c r="P50" s="38">
        <v>1000</v>
      </c>
      <c r="Q50" s="38">
        <v>2333</v>
      </c>
      <c r="R50" s="38">
        <v>2777</v>
      </c>
      <c r="S50" s="38">
        <v>1333</v>
      </c>
      <c r="T50" s="38">
        <v>1770</v>
      </c>
      <c r="U50" s="38">
        <v>0</v>
      </c>
      <c r="V50" s="38"/>
      <c r="W50" s="34">
        <f t="shared" si="0"/>
        <v>263328</v>
      </c>
    </row>
    <row r="51" spans="1:23" s="41" customFormat="1" ht="12.5" thickBot="1" x14ac:dyDescent="0.4">
      <c r="A51" s="36" t="s">
        <v>20</v>
      </c>
      <c r="B51" s="37">
        <v>46143</v>
      </c>
      <c r="C51" s="38" t="s">
        <v>40</v>
      </c>
      <c r="D51" s="38" t="s">
        <v>37</v>
      </c>
      <c r="E51" s="38" t="s">
        <v>23</v>
      </c>
      <c r="F51" s="38" t="s">
        <v>42</v>
      </c>
      <c r="G51" s="38">
        <v>23000</v>
      </c>
      <c r="H51" s="38">
        <v>15620</v>
      </c>
      <c r="I51" s="39">
        <v>51271</v>
      </c>
      <c r="J51" s="39">
        <v>35376</v>
      </c>
      <c r="K51" s="38">
        <v>76076</v>
      </c>
      <c r="L51" s="39">
        <v>0</v>
      </c>
      <c r="M51" s="38">
        <v>2742</v>
      </c>
      <c r="N51" s="38">
        <v>1679</v>
      </c>
      <c r="O51" s="38">
        <v>1433</v>
      </c>
      <c r="P51" s="38">
        <v>1000</v>
      </c>
      <c r="Q51" s="38">
        <v>2333</v>
      </c>
      <c r="R51" s="38">
        <v>0</v>
      </c>
      <c r="S51" s="38">
        <v>1333</v>
      </c>
      <c r="T51" s="38">
        <v>1770</v>
      </c>
      <c r="U51" s="38">
        <v>0</v>
      </c>
      <c r="V51" s="38"/>
      <c r="W51" s="34">
        <f t="shared" si="0"/>
        <v>175013</v>
      </c>
    </row>
    <row r="52" spans="1:23" s="40" customFormat="1" ht="15" thickBot="1" x14ac:dyDescent="0.4">
      <c r="A52" s="36" t="s">
        <v>20</v>
      </c>
      <c r="B52" s="37">
        <v>46143</v>
      </c>
      <c r="C52" s="38" t="s">
        <v>75</v>
      </c>
      <c r="D52" s="38" t="s">
        <v>76</v>
      </c>
      <c r="E52" s="38" t="s">
        <v>77</v>
      </c>
      <c r="F52" s="38" t="s">
        <v>42</v>
      </c>
      <c r="G52" s="38">
        <v>44000</v>
      </c>
      <c r="H52" s="38">
        <v>0</v>
      </c>
      <c r="I52" s="38">
        <v>242279</v>
      </c>
      <c r="J52" s="38">
        <v>0</v>
      </c>
      <c r="K52" s="38">
        <v>0</v>
      </c>
      <c r="L52" s="39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/>
      <c r="W52" s="34">
        <f t="shared" si="0"/>
        <v>242279</v>
      </c>
    </row>
    <row r="53" spans="1:23" s="40" customFormat="1" ht="15" thickBot="1" x14ac:dyDescent="0.4">
      <c r="A53" s="36"/>
      <c r="B53" s="37">
        <v>46143</v>
      </c>
      <c r="C53" s="38" t="s">
        <v>125</v>
      </c>
      <c r="D53" s="38" t="s">
        <v>120</v>
      </c>
      <c r="E53" s="38" t="s">
        <v>32</v>
      </c>
      <c r="F53" s="38" t="s">
        <v>24</v>
      </c>
      <c r="G53" s="38"/>
      <c r="H53" s="38"/>
      <c r="I53" s="38">
        <v>10537469</v>
      </c>
      <c r="J53" s="38">
        <v>660747</v>
      </c>
      <c r="K53" s="38">
        <v>259000</v>
      </c>
      <c r="L53" s="39">
        <v>267449</v>
      </c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4"/>
    </row>
    <row r="54" spans="1:23" s="40" customFormat="1" ht="15" thickBot="1" x14ac:dyDescent="0.4">
      <c r="A54" s="36"/>
      <c r="B54" s="37">
        <v>46143</v>
      </c>
      <c r="C54" s="38" t="s">
        <v>126</v>
      </c>
      <c r="D54" s="38" t="s">
        <v>121</v>
      </c>
      <c r="E54" s="38" t="s">
        <v>32</v>
      </c>
      <c r="F54" s="38" t="s">
        <v>24</v>
      </c>
      <c r="G54" s="38"/>
      <c r="H54" s="38"/>
      <c r="I54" s="38">
        <v>3432140</v>
      </c>
      <c r="J54" s="39">
        <v>350199.85</v>
      </c>
      <c r="K54" s="38">
        <v>0</v>
      </c>
      <c r="L54" s="39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4"/>
    </row>
    <row r="55" spans="1:23" s="40" customFormat="1" ht="15" thickBot="1" x14ac:dyDescent="0.4">
      <c r="A55" s="36" t="s">
        <v>20</v>
      </c>
      <c r="B55" s="37">
        <v>46143</v>
      </c>
      <c r="C55" s="38" t="s">
        <v>123</v>
      </c>
      <c r="D55" s="38" t="s">
        <v>122</v>
      </c>
      <c r="E55" s="38" t="s">
        <v>32</v>
      </c>
      <c r="F55" s="38" t="s">
        <v>24</v>
      </c>
      <c r="G55" s="38">
        <v>184730</v>
      </c>
      <c r="H55" s="38">
        <v>0</v>
      </c>
      <c r="I55" s="38">
        <v>969707</v>
      </c>
      <c r="J55" s="39">
        <v>370503.03</v>
      </c>
      <c r="K55" s="38">
        <v>0</v>
      </c>
      <c r="L55" s="39"/>
      <c r="M55" s="38">
        <v>146542</v>
      </c>
      <c r="N55" s="38">
        <v>100751</v>
      </c>
      <c r="O55" s="38">
        <v>26489</v>
      </c>
      <c r="P55" s="38">
        <v>0</v>
      </c>
      <c r="Q55" s="39">
        <v>0</v>
      </c>
      <c r="R55" s="39">
        <v>0</v>
      </c>
      <c r="S55" s="38">
        <v>0</v>
      </c>
      <c r="T55" s="39">
        <v>0</v>
      </c>
      <c r="U55" s="38">
        <v>0</v>
      </c>
      <c r="V55" s="38"/>
      <c r="W55" s="34">
        <f t="shared" si="0"/>
        <v>1613992.03</v>
      </c>
    </row>
    <row r="56" spans="1:23" s="40" customFormat="1" ht="15" thickBot="1" x14ac:dyDescent="0.4">
      <c r="A56" s="36" t="s">
        <v>20</v>
      </c>
      <c r="B56" s="37">
        <v>46143</v>
      </c>
      <c r="C56" s="38" t="s">
        <v>33</v>
      </c>
      <c r="D56" s="38" t="s">
        <v>43</v>
      </c>
      <c r="E56" s="38" t="s">
        <v>32</v>
      </c>
      <c r="F56" s="38" t="s">
        <v>24</v>
      </c>
      <c r="G56" s="38">
        <v>43015</v>
      </c>
      <c r="H56" s="38">
        <v>0</v>
      </c>
      <c r="I56" s="38">
        <v>2466058</v>
      </c>
      <c r="J56" s="38">
        <v>245652</v>
      </c>
      <c r="K56" s="38">
        <v>65420</v>
      </c>
      <c r="L56" s="39">
        <v>0</v>
      </c>
      <c r="M56" s="39">
        <v>66171</v>
      </c>
      <c r="N56" s="38">
        <v>19710</v>
      </c>
      <c r="O56" s="38">
        <f>19368+12272</f>
        <v>31640</v>
      </c>
      <c r="P56" s="38">
        <v>0</v>
      </c>
      <c r="Q56" s="39">
        <v>0</v>
      </c>
      <c r="R56" s="39">
        <v>0</v>
      </c>
      <c r="S56" s="39">
        <v>0</v>
      </c>
      <c r="T56" s="38">
        <v>0</v>
      </c>
      <c r="U56" s="38">
        <v>0</v>
      </c>
      <c r="V56" s="38"/>
      <c r="W56" s="34">
        <f t="shared" si="0"/>
        <v>2894651</v>
      </c>
    </row>
    <row r="57" spans="1:23" s="40" customFormat="1" ht="15" thickBot="1" x14ac:dyDescent="0.4">
      <c r="A57" s="36" t="s">
        <v>20</v>
      </c>
      <c r="B57" s="37">
        <v>46143</v>
      </c>
      <c r="C57" s="38" t="s">
        <v>44</v>
      </c>
      <c r="D57" s="38" t="s">
        <v>45</v>
      </c>
      <c r="E57" s="38" t="s">
        <v>32</v>
      </c>
      <c r="F57" s="38" t="s">
        <v>24</v>
      </c>
      <c r="G57" s="38">
        <v>25000</v>
      </c>
      <c r="H57" s="38">
        <v>0</v>
      </c>
      <c r="I57" s="38">
        <v>117436</v>
      </c>
      <c r="J57" s="38">
        <v>56967</v>
      </c>
      <c r="K57" s="38">
        <v>0</v>
      </c>
      <c r="L57" s="39">
        <v>0</v>
      </c>
      <c r="M57" s="38">
        <v>10610</v>
      </c>
      <c r="N57" s="38">
        <v>2125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/>
      <c r="W57" s="34">
        <f t="shared" si="0"/>
        <v>187138</v>
      </c>
    </row>
    <row r="58" spans="1:23" s="41" customFormat="1" ht="12.5" thickBot="1" x14ac:dyDescent="0.4">
      <c r="A58" s="36" t="s">
        <v>20</v>
      </c>
      <c r="B58" s="37">
        <v>46143</v>
      </c>
      <c r="C58" s="38" t="s">
        <v>29</v>
      </c>
      <c r="D58" s="38" t="s">
        <v>46</v>
      </c>
      <c r="E58" s="38" t="s">
        <v>23</v>
      </c>
      <c r="F58" s="38" t="s">
        <v>47</v>
      </c>
      <c r="G58" s="38">
        <v>12500</v>
      </c>
      <c r="H58" s="38">
        <v>0</v>
      </c>
      <c r="I58" s="38">
        <v>34740</v>
      </c>
      <c r="J58" s="39">
        <v>50498</v>
      </c>
      <c r="K58" s="39">
        <v>2964</v>
      </c>
      <c r="L58" s="39">
        <v>6272</v>
      </c>
      <c r="M58" s="38">
        <v>2580</v>
      </c>
      <c r="N58" s="38">
        <v>930</v>
      </c>
      <c r="O58" s="38">
        <v>6540</v>
      </c>
      <c r="P58" s="38">
        <v>0</v>
      </c>
      <c r="Q58" s="38">
        <v>0</v>
      </c>
      <c r="R58" s="38">
        <v>0</v>
      </c>
      <c r="S58" s="38">
        <v>1500</v>
      </c>
      <c r="T58" s="38">
        <v>1302</v>
      </c>
      <c r="U58" s="39">
        <v>0</v>
      </c>
      <c r="V58" s="38"/>
      <c r="W58" s="34">
        <f t="shared" si="0"/>
        <v>107326</v>
      </c>
    </row>
    <row r="59" spans="1:23" s="40" customFormat="1" ht="15" thickBot="1" x14ac:dyDescent="0.4">
      <c r="A59" s="36" t="s">
        <v>20</v>
      </c>
      <c r="B59" s="37">
        <v>46143</v>
      </c>
      <c r="C59" s="38" t="s">
        <v>68</v>
      </c>
      <c r="D59" s="38" t="s">
        <v>46</v>
      </c>
      <c r="E59" s="38" t="s">
        <v>23</v>
      </c>
      <c r="F59" s="38" t="s">
        <v>47</v>
      </c>
      <c r="G59" s="38">
        <v>127392</v>
      </c>
      <c r="H59" s="38">
        <v>0</v>
      </c>
      <c r="I59" s="38">
        <v>3232354</v>
      </c>
      <c r="J59" s="39">
        <v>264320</v>
      </c>
      <c r="K59" s="38">
        <v>0</v>
      </c>
      <c r="L59" s="39"/>
      <c r="M59" s="38">
        <v>45473</v>
      </c>
      <c r="N59" s="38"/>
      <c r="O59" s="38"/>
      <c r="P59" s="38"/>
      <c r="Q59" s="38"/>
      <c r="R59" s="38">
        <v>10500</v>
      </c>
      <c r="S59" s="38"/>
      <c r="T59" s="38">
        <v>10353</v>
      </c>
      <c r="U59" s="38">
        <v>375499</v>
      </c>
      <c r="V59" s="38" t="s">
        <v>78</v>
      </c>
      <c r="W59" s="34">
        <f t="shared" si="0"/>
        <v>3938499</v>
      </c>
    </row>
    <row r="60" spans="1:23" s="40" customFormat="1" ht="15" thickBot="1" x14ac:dyDescent="0.4">
      <c r="A60" s="36" t="s">
        <v>20</v>
      </c>
      <c r="B60" s="37">
        <v>46143</v>
      </c>
      <c r="C60" s="38" t="s">
        <v>49</v>
      </c>
      <c r="D60" s="38" t="s">
        <v>46</v>
      </c>
      <c r="E60" s="38" t="s">
        <v>23</v>
      </c>
      <c r="F60" s="38" t="s">
        <v>47</v>
      </c>
      <c r="G60" s="38">
        <v>10000</v>
      </c>
      <c r="H60" s="38">
        <v>4000</v>
      </c>
      <c r="I60" s="38">
        <v>101954</v>
      </c>
      <c r="J60" s="39">
        <v>37873.5</v>
      </c>
      <c r="K60" s="38">
        <v>19830</v>
      </c>
      <c r="L60" s="39">
        <v>18153</v>
      </c>
      <c r="M60" s="38">
        <v>2772</v>
      </c>
      <c r="N60" s="38">
        <v>913</v>
      </c>
      <c r="O60" s="38">
        <v>6090</v>
      </c>
      <c r="P60" s="38">
        <v>0</v>
      </c>
      <c r="Q60" s="38">
        <v>7000</v>
      </c>
      <c r="R60" s="38">
        <v>3168</v>
      </c>
      <c r="S60" s="38">
        <v>0</v>
      </c>
      <c r="T60" s="38">
        <v>0</v>
      </c>
      <c r="U60" s="39">
        <v>0</v>
      </c>
      <c r="V60" s="38"/>
      <c r="W60" s="34">
        <f t="shared" si="0"/>
        <v>197753.5</v>
      </c>
    </row>
    <row r="61" spans="1:23" s="40" customFormat="1" ht="15" thickBot="1" x14ac:dyDescent="0.4">
      <c r="A61" s="36" t="s">
        <v>20</v>
      </c>
      <c r="B61" s="37">
        <v>46143</v>
      </c>
      <c r="C61" s="38" t="s">
        <v>50</v>
      </c>
      <c r="D61" s="38" t="s">
        <v>46</v>
      </c>
      <c r="E61" s="38" t="s">
        <v>23</v>
      </c>
      <c r="F61" s="38" t="s">
        <v>47</v>
      </c>
      <c r="G61" s="38">
        <v>15000</v>
      </c>
      <c r="H61" s="38">
        <v>1663</v>
      </c>
      <c r="I61" s="38">
        <v>196032</v>
      </c>
      <c r="J61" s="39">
        <v>37873.5</v>
      </c>
      <c r="K61" s="38">
        <f>1003+118248</f>
        <v>119251</v>
      </c>
      <c r="L61" s="39">
        <v>18153</v>
      </c>
      <c r="M61" s="38">
        <v>6212</v>
      </c>
      <c r="N61" s="38">
        <v>1350</v>
      </c>
      <c r="O61" s="38">
        <v>11155</v>
      </c>
      <c r="P61" s="38">
        <v>0</v>
      </c>
      <c r="Q61" s="38">
        <v>7000</v>
      </c>
      <c r="R61" s="38">
        <v>5589</v>
      </c>
      <c r="S61" s="38">
        <v>0</v>
      </c>
      <c r="T61" s="38">
        <v>0</v>
      </c>
      <c r="U61" s="39">
        <v>0</v>
      </c>
      <c r="V61" s="38"/>
      <c r="W61" s="34">
        <f t="shared" si="0"/>
        <v>402615.5</v>
      </c>
    </row>
    <row r="62" spans="1:23" s="40" customFormat="1" ht="15" thickBot="1" x14ac:dyDescent="0.4">
      <c r="A62" s="36" t="s">
        <v>20</v>
      </c>
      <c r="B62" s="37">
        <v>46143</v>
      </c>
      <c r="C62" s="38" t="s">
        <v>83</v>
      </c>
      <c r="D62" s="38" t="s">
        <v>82</v>
      </c>
      <c r="E62" s="38" t="s">
        <v>23</v>
      </c>
      <c r="F62" s="38" t="s">
        <v>51</v>
      </c>
      <c r="G62" s="38">
        <v>3000</v>
      </c>
      <c r="H62" s="38">
        <v>0</v>
      </c>
      <c r="I62" s="38">
        <v>81379</v>
      </c>
      <c r="J62" s="38">
        <v>0</v>
      </c>
      <c r="K62" s="38">
        <v>13650</v>
      </c>
      <c r="L62" s="39">
        <v>0</v>
      </c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4">
        <f t="shared" si="0"/>
        <v>95029</v>
      </c>
    </row>
    <row r="63" spans="1:23" s="41" customFormat="1" ht="12.5" thickBot="1" x14ac:dyDescent="0.4">
      <c r="A63" s="36" t="s">
        <v>20</v>
      </c>
      <c r="B63" s="37">
        <v>46143</v>
      </c>
      <c r="C63" s="38" t="s">
        <v>85</v>
      </c>
      <c r="D63" s="38" t="s">
        <v>82</v>
      </c>
      <c r="E63" s="38" t="s">
        <v>23</v>
      </c>
      <c r="F63" s="38" t="s">
        <v>51</v>
      </c>
      <c r="G63" s="38">
        <v>37309</v>
      </c>
      <c r="H63" s="38">
        <v>0</v>
      </c>
      <c r="I63" s="38">
        <v>487232</v>
      </c>
      <c r="J63" s="38">
        <v>67483</v>
      </c>
      <c r="K63" s="38">
        <v>38160</v>
      </c>
      <c r="L63" s="39">
        <v>46860</v>
      </c>
      <c r="M63" s="39">
        <v>0</v>
      </c>
      <c r="N63" s="38">
        <v>7050</v>
      </c>
      <c r="O63" s="38">
        <v>4500</v>
      </c>
      <c r="P63" s="38">
        <v>7410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/>
      <c r="W63" s="34">
        <f t="shared" si="0"/>
        <v>658695</v>
      </c>
    </row>
    <row r="64" spans="1:23" s="41" customFormat="1" ht="12.5" thickBot="1" x14ac:dyDescent="0.4">
      <c r="A64" s="36" t="s">
        <v>20</v>
      </c>
      <c r="B64" s="37">
        <v>46143</v>
      </c>
      <c r="C64" s="38" t="s">
        <v>29</v>
      </c>
      <c r="D64" s="38" t="s">
        <v>80</v>
      </c>
      <c r="E64" s="38" t="s">
        <v>23</v>
      </c>
      <c r="F64" s="38" t="s">
        <v>51</v>
      </c>
      <c r="G64" s="38">
        <v>30000</v>
      </c>
      <c r="H64" s="38">
        <v>0</v>
      </c>
      <c r="I64" s="39">
        <v>111312.5</v>
      </c>
      <c r="J64" s="39">
        <v>66160</v>
      </c>
      <c r="K64" s="39">
        <v>1976</v>
      </c>
      <c r="L64" s="39">
        <v>12770</v>
      </c>
      <c r="M64" s="38">
        <v>2046</v>
      </c>
      <c r="N64" s="38">
        <v>2850</v>
      </c>
      <c r="O64" s="38">
        <v>2599</v>
      </c>
      <c r="P64" s="38">
        <v>5160</v>
      </c>
      <c r="Q64" s="39">
        <v>0</v>
      </c>
      <c r="R64" s="42">
        <v>1791</v>
      </c>
      <c r="S64" s="39">
        <v>1833</v>
      </c>
      <c r="T64" s="39">
        <v>2540</v>
      </c>
      <c r="U64" s="39">
        <v>0</v>
      </c>
      <c r="V64" s="38"/>
      <c r="W64" s="34">
        <f t="shared" si="0"/>
        <v>211037.5</v>
      </c>
    </row>
    <row r="65" spans="1:23" s="40" customFormat="1" ht="15" thickBot="1" x14ac:dyDescent="0.4">
      <c r="A65" s="36" t="s">
        <v>20</v>
      </c>
      <c r="B65" s="37">
        <v>46143</v>
      </c>
      <c r="C65" s="38" t="s">
        <v>53</v>
      </c>
      <c r="D65" s="38" t="s">
        <v>80</v>
      </c>
      <c r="E65" s="38" t="s">
        <v>23</v>
      </c>
      <c r="F65" s="38" t="s">
        <v>51</v>
      </c>
      <c r="G65" s="38">
        <v>22250</v>
      </c>
      <c r="H65" s="38">
        <v>2178</v>
      </c>
      <c r="I65" s="39">
        <v>111312.5</v>
      </c>
      <c r="J65" s="42">
        <v>33080</v>
      </c>
      <c r="K65" s="38">
        <v>0</v>
      </c>
      <c r="L65" s="39">
        <v>12770</v>
      </c>
      <c r="M65" s="38">
        <v>2530</v>
      </c>
      <c r="N65" s="38">
        <v>2850</v>
      </c>
      <c r="O65" s="38">
        <v>2599</v>
      </c>
      <c r="P65" s="38">
        <v>0</v>
      </c>
      <c r="Q65" s="39">
        <v>0</v>
      </c>
      <c r="R65" s="42">
        <v>1791</v>
      </c>
      <c r="S65" s="39">
        <v>1833</v>
      </c>
      <c r="T65" s="39">
        <v>2540</v>
      </c>
      <c r="U65" s="39">
        <v>0</v>
      </c>
      <c r="V65" s="38"/>
      <c r="W65" s="34">
        <f t="shared" si="0"/>
        <v>171305.5</v>
      </c>
    </row>
    <row r="66" spans="1:23" s="41" customFormat="1" ht="12.5" thickBot="1" x14ac:dyDescent="0.4">
      <c r="A66" s="36" t="s">
        <v>20</v>
      </c>
      <c r="B66" s="37">
        <v>46143</v>
      </c>
      <c r="C66" s="38" t="s">
        <v>54</v>
      </c>
      <c r="D66" s="38" t="s">
        <v>81</v>
      </c>
      <c r="E66" s="38" t="s">
        <v>23</v>
      </c>
      <c r="F66" s="38" t="s">
        <v>51</v>
      </c>
      <c r="G66" s="38">
        <v>187220</v>
      </c>
      <c r="H66" s="38">
        <v>0</v>
      </c>
      <c r="I66" s="38">
        <v>1946856</v>
      </c>
      <c r="J66" s="42">
        <v>262663</v>
      </c>
      <c r="K66" s="38">
        <v>100760</v>
      </c>
      <c r="L66" s="39">
        <v>132312</v>
      </c>
      <c r="M66" s="38">
        <v>47000</v>
      </c>
      <c r="N66" s="38">
        <v>35550</v>
      </c>
      <c r="O66" s="38">
        <v>122232</v>
      </c>
      <c r="P66" s="38">
        <v>9405</v>
      </c>
      <c r="Q66" s="39">
        <v>25500</v>
      </c>
      <c r="R66" s="42">
        <v>16097</v>
      </c>
      <c r="S66" s="38">
        <v>15000</v>
      </c>
      <c r="T66" s="38">
        <v>8654</v>
      </c>
      <c r="U66" s="38">
        <v>4000</v>
      </c>
      <c r="V66" s="38" t="s">
        <v>79</v>
      </c>
      <c r="W66" s="34">
        <f t="shared" si="0"/>
        <v>2726029</v>
      </c>
    </row>
    <row r="67" spans="1:23" s="40" customFormat="1" ht="15" thickBot="1" x14ac:dyDescent="0.4">
      <c r="A67" s="36" t="s">
        <v>20</v>
      </c>
      <c r="B67" s="37">
        <v>46143</v>
      </c>
      <c r="C67" s="38" t="s">
        <v>56</v>
      </c>
      <c r="D67" s="38" t="s">
        <v>81</v>
      </c>
      <c r="E67" s="38" t="s">
        <v>23</v>
      </c>
      <c r="F67" s="38" t="s">
        <v>51</v>
      </c>
      <c r="G67" s="38">
        <v>12500</v>
      </c>
      <c r="H67" s="38">
        <v>0</v>
      </c>
      <c r="I67" s="39">
        <v>970169</v>
      </c>
      <c r="J67" s="39">
        <v>66160</v>
      </c>
      <c r="K67" s="38">
        <v>61750</v>
      </c>
      <c r="L67" s="39">
        <v>33078</v>
      </c>
      <c r="M67" s="38">
        <v>31991</v>
      </c>
      <c r="N67" s="38">
        <v>7200</v>
      </c>
      <c r="O67" s="38">
        <v>58823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/>
      <c r="W67" s="34">
        <f t="shared" ref="W67:W129" si="2">SUM(I67:U67)</f>
        <v>1229171</v>
      </c>
    </row>
    <row r="68" spans="1:23" s="40" customFormat="1" ht="15" thickBot="1" x14ac:dyDescent="0.4">
      <c r="A68" s="36" t="s">
        <v>20</v>
      </c>
      <c r="B68" s="37">
        <v>46143</v>
      </c>
      <c r="C68" s="38" t="s">
        <v>57</v>
      </c>
      <c r="D68" s="38" t="s">
        <v>84</v>
      </c>
      <c r="E68" s="38" t="s">
        <v>23</v>
      </c>
      <c r="F68" s="38" t="s">
        <v>51</v>
      </c>
      <c r="G68" s="38">
        <v>15882</v>
      </c>
      <c r="H68" s="38">
        <v>0</v>
      </c>
      <c r="I68" s="38">
        <v>37905</v>
      </c>
      <c r="J68" s="39">
        <v>31671</v>
      </c>
      <c r="K68" s="38">
        <v>277940</v>
      </c>
      <c r="L68" s="39">
        <v>57000</v>
      </c>
      <c r="M68" s="38">
        <v>3500</v>
      </c>
      <c r="N68" s="38">
        <v>5800</v>
      </c>
      <c r="O68" s="38">
        <v>1073</v>
      </c>
      <c r="P68" s="38">
        <v>0</v>
      </c>
      <c r="Q68" s="38">
        <v>3620</v>
      </c>
      <c r="R68" s="39">
        <v>0</v>
      </c>
      <c r="S68" s="39">
        <v>1600</v>
      </c>
      <c r="T68" s="39">
        <v>2130.6666666666665</v>
      </c>
      <c r="U68" s="39"/>
      <c r="V68" s="38"/>
      <c r="W68" s="34">
        <f t="shared" si="2"/>
        <v>422239.66666666669</v>
      </c>
    </row>
    <row r="69" spans="1:23" s="40" customFormat="1" ht="15" thickBot="1" x14ac:dyDescent="0.4">
      <c r="A69" s="36" t="s">
        <v>20</v>
      </c>
      <c r="B69" s="37">
        <v>46143</v>
      </c>
      <c r="C69" s="38" t="s">
        <v>39</v>
      </c>
      <c r="D69" s="38" t="s">
        <v>84</v>
      </c>
      <c r="E69" s="38" t="s">
        <v>23</v>
      </c>
      <c r="F69" s="38" t="s">
        <v>51</v>
      </c>
      <c r="G69" s="38">
        <v>8725</v>
      </c>
      <c r="H69" s="38">
        <v>6643</v>
      </c>
      <c r="I69" s="38">
        <v>97215</v>
      </c>
      <c r="J69" s="39">
        <v>31671</v>
      </c>
      <c r="K69" s="38">
        <v>87100</v>
      </c>
      <c r="L69" s="39">
        <v>57000</v>
      </c>
      <c r="M69" s="38">
        <v>2450</v>
      </c>
      <c r="N69" s="38">
        <v>3200</v>
      </c>
      <c r="O69" s="38">
        <v>14314</v>
      </c>
      <c r="P69" s="38">
        <v>5148</v>
      </c>
      <c r="Q69" s="38">
        <v>3620</v>
      </c>
      <c r="R69" s="39">
        <v>3109</v>
      </c>
      <c r="S69" s="39">
        <v>1600</v>
      </c>
      <c r="T69" s="39">
        <v>2130.6666666666665</v>
      </c>
      <c r="U69" s="39"/>
      <c r="V69" s="38"/>
      <c r="W69" s="34">
        <f t="shared" si="2"/>
        <v>308557.66666666669</v>
      </c>
    </row>
    <row r="70" spans="1:23" s="40" customFormat="1" ht="15" thickBot="1" x14ac:dyDescent="0.4">
      <c r="A70" s="36" t="s">
        <v>20</v>
      </c>
      <c r="B70" s="37">
        <v>46143</v>
      </c>
      <c r="C70" s="38" t="s">
        <v>33</v>
      </c>
      <c r="D70" s="38" t="s">
        <v>84</v>
      </c>
      <c r="E70" s="38" t="s">
        <v>23</v>
      </c>
      <c r="F70" s="38" t="s">
        <v>51</v>
      </c>
      <c r="G70" s="38">
        <v>35000</v>
      </c>
      <c r="H70" s="38">
        <v>0</v>
      </c>
      <c r="I70" s="39">
        <v>3404489.95</v>
      </c>
      <c r="J70" s="39">
        <v>475013.7</v>
      </c>
      <c r="K70" s="38">
        <v>388700</v>
      </c>
      <c r="L70" s="39">
        <v>57000</v>
      </c>
      <c r="M70" s="38">
        <v>38404</v>
      </c>
      <c r="N70" s="38">
        <v>87700</v>
      </c>
      <c r="O70" s="38">
        <v>19662</v>
      </c>
      <c r="P70" s="38">
        <v>11599</v>
      </c>
      <c r="Q70" s="38">
        <v>3620</v>
      </c>
      <c r="R70" s="39">
        <v>11370</v>
      </c>
      <c r="S70" s="39">
        <v>1600</v>
      </c>
      <c r="T70" s="39">
        <v>2130.6666666666665</v>
      </c>
      <c r="U70" s="39"/>
      <c r="V70" s="38"/>
      <c r="W70" s="34">
        <f t="shared" si="2"/>
        <v>4501289.3166666673</v>
      </c>
    </row>
    <row r="71" spans="1:23" s="40" customFormat="1" ht="15" thickBot="1" x14ac:dyDescent="0.4">
      <c r="A71" s="36" t="s">
        <v>20</v>
      </c>
      <c r="B71" s="37">
        <v>46143</v>
      </c>
      <c r="C71" s="38" t="s">
        <v>33</v>
      </c>
      <c r="D71" s="38" t="s">
        <v>59</v>
      </c>
      <c r="E71" s="38" t="s">
        <v>32</v>
      </c>
      <c r="F71" s="38" t="s">
        <v>51</v>
      </c>
      <c r="G71" s="38">
        <v>30094</v>
      </c>
      <c r="H71" s="38">
        <v>0</v>
      </c>
      <c r="I71" s="38">
        <v>2344883</v>
      </c>
      <c r="J71" s="39">
        <v>366350.36</v>
      </c>
      <c r="K71" s="38">
        <v>3500</v>
      </c>
      <c r="L71" s="39">
        <v>60682</v>
      </c>
      <c r="M71" s="38">
        <v>18498</v>
      </c>
      <c r="N71" s="38">
        <v>21546</v>
      </c>
      <c r="O71" s="38">
        <v>10160</v>
      </c>
      <c r="P71" s="38">
        <v>9620</v>
      </c>
      <c r="Q71" s="38">
        <v>0</v>
      </c>
      <c r="R71" s="42">
        <v>5328</v>
      </c>
      <c r="S71" s="38">
        <v>0</v>
      </c>
      <c r="T71" s="38">
        <v>2916</v>
      </c>
      <c r="U71" s="38">
        <v>8630</v>
      </c>
      <c r="V71" s="38" t="s">
        <v>58</v>
      </c>
      <c r="W71" s="34">
        <f t="shared" si="2"/>
        <v>2852113.36</v>
      </c>
    </row>
    <row r="72" spans="1:23" s="40" customFormat="1" ht="15" thickBot="1" x14ac:dyDescent="0.4">
      <c r="A72" s="36" t="s">
        <v>20</v>
      </c>
      <c r="B72" s="37">
        <v>46143</v>
      </c>
      <c r="C72" s="38" t="s">
        <v>33</v>
      </c>
      <c r="D72" s="38" t="s">
        <v>60</v>
      </c>
      <c r="E72" s="38" t="s">
        <v>23</v>
      </c>
      <c r="F72" s="38" t="s">
        <v>51</v>
      </c>
      <c r="G72" s="38">
        <v>62000</v>
      </c>
      <c r="H72" s="38">
        <v>0</v>
      </c>
      <c r="I72" s="39">
        <v>3174286</v>
      </c>
      <c r="J72" s="39">
        <v>717931.61</v>
      </c>
      <c r="K72" s="38">
        <v>231000</v>
      </c>
      <c r="L72" s="39">
        <v>159116</v>
      </c>
      <c r="M72" s="38">
        <v>56664</v>
      </c>
      <c r="N72" s="38">
        <v>29268</v>
      </c>
      <c r="O72" s="38">
        <v>26550</v>
      </c>
      <c r="P72" s="38">
        <v>10565</v>
      </c>
      <c r="Q72" s="38">
        <v>14581</v>
      </c>
      <c r="R72" s="38">
        <v>25200</v>
      </c>
      <c r="S72" s="38">
        <v>0</v>
      </c>
      <c r="T72" s="38">
        <v>7129</v>
      </c>
      <c r="U72" s="38">
        <v>16100</v>
      </c>
      <c r="V72" s="38" t="s">
        <v>58</v>
      </c>
      <c r="W72" s="34">
        <f t="shared" si="2"/>
        <v>4468390.6099999994</v>
      </c>
    </row>
    <row r="73" spans="1:23" s="40" customFormat="1" ht="15" thickBot="1" x14ac:dyDescent="0.4">
      <c r="A73" s="36" t="s">
        <v>20</v>
      </c>
      <c r="B73" s="37">
        <v>46143</v>
      </c>
      <c r="C73" s="38" t="s">
        <v>61</v>
      </c>
      <c r="D73" s="38" t="s">
        <v>62</v>
      </c>
      <c r="E73" s="38" t="s">
        <v>32</v>
      </c>
      <c r="F73" s="38" t="s">
        <v>63</v>
      </c>
      <c r="G73" s="38">
        <v>1306800</v>
      </c>
      <c r="H73" s="38">
        <v>0</v>
      </c>
      <c r="I73" s="39">
        <v>76024</v>
      </c>
      <c r="J73" s="39">
        <v>169545</v>
      </c>
      <c r="K73" s="39">
        <v>0</v>
      </c>
      <c r="L73" s="39">
        <v>13386</v>
      </c>
      <c r="M73" s="39">
        <v>0</v>
      </c>
      <c r="N73" s="38"/>
      <c r="O73" s="38"/>
      <c r="P73" s="38"/>
      <c r="Q73" s="38"/>
      <c r="R73" s="38"/>
      <c r="S73" s="38"/>
      <c r="T73" s="38"/>
      <c r="U73" s="42">
        <v>9500</v>
      </c>
      <c r="V73" s="38"/>
      <c r="W73" s="34">
        <f t="shared" si="2"/>
        <v>268455</v>
      </c>
    </row>
    <row r="74" spans="1:23" s="41" customFormat="1" ht="12.5" thickBot="1" x14ac:dyDescent="0.4">
      <c r="A74" s="36" t="s">
        <v>20</v>
      </c>
      <c r="B74" s="37">
        <v>46143</v>
      </c>
      <c r="C74" s="38" t="s">
        <v>85</v>
      </c>
      <c r="D74" s="38" t="s">
        <v>64</v>
      </c>
      <c r="E74" s="38" t="s">
        <v>32</v>
      </c>
      <c r="F74" s="38" t="s">
        <v>63</v>
      </c>
      <c r="G74" s="38">
        <v>11000</v>
      </c>
      <c r="H74" s="38">
        <v>0</v>
      </c>
      <c r="I74" s="39">
        <v>271547</v>
      </c>
      <c r="J74" s="39">
        <v>66801</v>
      </c>
      <c r="K74" s="38">
        <v>0</v>
      </c>
      <c r="L74" s="39">
        <v>3668</v>
      </c>
      <c r="M74" s="39">
        <v>5900</v>
      </c>
      <c r="N74" s="39">
        <v>2400</v>
      </c>
      <c r="O74" s="39">
        <v>1168</v>
      </c>
      <c r="P74" s="39">
        <v>6020</v>
      </c>
      <c r="Q74" s="38">
        <v>0</v>
      </c>
      <c r="R74" s="38">
        <v>0</v>
      </c>
      <c r="S74" s="38">
        <v>777</v>
      </c>
      <c r="T74" s="38">
        <v>0</v>
      </c>
      <c r="U74" s="38">
        <v>0</v>
      </c>
      <c r="V74" s="38"/>
      <c r="W74" s="34">
        <f t="shared" si="2"/>
        <v>358281</v>
      </c>
    </row>
    <row r="75" spans="1:23" s="41" customFormat="1" ht="12.5" thickBot="1" x14ac:dyDescent="0.4">
      <c r="A75" s="36" t="s">
        <v>20</v>
      </c>
      <c r="B75" s="37">
        <v>46143</v>
      </c>
      <c r="C75" s="38" t="s">
        <v>65</v>
      </c>
      <c r="D75" s="38" t="s">
        <v>66</v>
      </c>
      <c r="E75" s="38" t="s">
        <v>23</v>
      </c>
      <c r="F75" s="38" t="s">
        <v>63</v>
      </c>
      <c r="G75" s="38">
        <v>49100</v>
      </c>
      <c r="H75" s="38">
        <v>800</v>
      </c>
      <c r="I75" s="39">
        <v>242217</v>
      </c>
      <c r="J75" s="39">
        <v>15855</v>
      </c>
      <c r="K75" s="38">
        <v>0</v>
      </c>
      <c r="L75" s="39">
        <v>33914.25</v>
      </c>
      <c r="M75" s="38">
        <v>0</v>
      </c>
      <c r="N75" s="39">
        <v>0</v>
      </c>
      <c r="O75" s="38">
        <v>0</v>
      </c>
      <c r="P75" s="38">
        <v>0</v>
      </c>
      <c r="Q75" s="38">
        <v>0</v>
      </c>
      <c r="R75" s="38">
        <v>0</v>
      </c>
      <c r="S75" s="38"/>
      <c r="T75" s="38">
        <v>0</v>
      </c>
      <c r="U75" s="38"/>
      <c r="V75" s="38"/>
      <c r="W75" s="34">
        <f t="shared" si="2"/>
        <v>291986.25</v>
      </c>
    </row>
    <row r="76" spans="1:23" s="40" customFormat="1" ht="15" thickBot="1" x14ac:dyDescent="0.4">
      <c r="A76" s="36" t="s">
        <v>20</v>
      </c>
      <c r="B76" s="37">
        <v>46143</v>
      </c>
      <c r="C76" s="38" t="s">
        <v>67</v>
      </c>
      <c r="D76" s="38" t="s">
        <v>66</v>
      </c>
      <c r="E76" s="38" t="s">
        <v>23</v>
      </c>
      <c r="F76" s="38" t="s">
        <v>63</v>
      </c>
      <c r="G76" s="38">
        <v>3200</v>
      </c>
      <c r="H76" s="38">
        <v>0</v>
      </c>
      <c r="I76" s="38">
        <v>0</v>
      </c>
      <c r="J76" s="39">
        <v>15855</v>
      </c>
      <c r="K76" s="38">
        <v>0</v>
      </c>
      <c r="L76" s="39">
        <v>33914.25</v>
      </c>
      <c r="M76" s="38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8"/>
      <c r="W76" s="34">
        <f t="shared" si="2"/>
        <v>49769.25</v>
      </c>
    </row>
    <row r="77" spans="1:23" s="41" customFormat="1" ht="12.5" thickBot="1" x14ac:dyDescent="0.4">
      <c r="A77" s="36" t="s">
        <v>20</v>
      </c>
      <c r="B77" s="37">
        <v>46143</v>
      </c>
      <c r="C77" s="38" t="s">
        <v>83</v>
      </c>
      <c r="D77" s="38" t="s">
        <v>66</v>
      </c>
      <c r="E77" s="38" t="s">
        <v>23</v>
      </c>
      <c r="F77" s="38" t="s">
        <v>63</v>
      </c>
      <c r="G77" s="38">
        <v>1000</v>
      </c>
      <c r="H77" s="38">
        <v>0</v>
      </c>
      <c r="I77" s="39">
        <v>213070</v>
      </c>
      <c r="J77" s="39">
        <v>47564</v>
      </c>
      <c r="K77" s="38">
        <v>0</v>
      </c>
      <c r="L77" s="39">
        <v>33914.25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8"/>
      <c r="W77" s="34">
        <f t="shared" si="2"/>
        <v>294548.25</v>
      </c>
    </row>
    <row r="78" spans="1:23" s="40" customFormat="1" ht="15" thickBot="1" x14ac:dyDescent="0.4">
      <c r="A78" s="36" t="s">
        <v>20</v>
      </c>
      <c r="B78" s="37">
        <v>46143</v>
      </c>
      <c r="C78" s="38" t="s">
        <v>39</v>
      </c>
      <c r="D78" s="38" t="s">
        <v>66</v>
      </c>
      <c r="E78" s="38" t="s">
        <v>23</v>
      </c>
      <c r="F78" s="38" t="s">
        <v>63</v>
      </c>
      <c r="G78" s="38">
        <v>6000</v>
      </c>
      <c r="H78" s="38">
        <v>2606</v>
      </c>
      <c r="I78" s="39">
        <v>52424</v>
      </c>
      <c r="J78" s="39">
        <v>15855</v>
      </c>
      <c r="K78" s="38">
        <v>0</v>
      </c>
      <c r="L78" s="39">
        <v>33914.25</v>
      </c>
      <c r="M78" s="39">
        <v>2600</v>
      </c>
      <c r="N78" s="38">
        <v>675</v>
      </c>
      <c r="O78" s="38">
        <v>0</v>
      </c>
      <c r="P78" s="42">
        <v>10839</v>
      </c>
      <c r="Q78" s="42">
        <v>12989</v>
      </c>
      <c r="R78" s="38">
        <v>0</v>
      </c>
      <c r="S78" s="38">
        <v>589</v>
      </c>
      <c r="T78" s="38">
        <v>0</v>
      </c>
      <c r="U78" s="38">
        <v>0</v>
      </c>
      <c r="V78" s="38"/>
      <c r="W78" s="34">
        <f t="shared" si="2"/>
        <v>129885.25</v>
      </c>
    </row>
    <row r="79" spans="1:23" s="40" customFormat="1" ht="15" thickBot="1" x14ac:dyDescent="0.4">
      <c r="A79" s="36" t="s">
        <v>20</v>
      </c>
      <c r="B79" s="37">
        <v>46143</v>
      </c>
      <c r="C79" s="38" t="s">
        <v>68</v>
      </c>
      <c r="D79" s="38" t="s">
        <v>69</v>
      </c>
      <c r="E79" s="38" t="s">
        <v>32</v>
      </c>
      <c r="F79" s="38" t="s">
        <v>63</v>
      </c>
      <c r="G79" s="38">
        <v>108561</v>
      </c>
      <c r="H79" s="38">
        <v>0</v>
      </c>
      <c r="I79" s="39">
        <v>2966093</v>
      </c>
      <c r="J79" s="39">
        <v>478200</v>
      </c>
      <c r="K79" s="38">
        <v>0</v>
      </c>
      <c r="L79" s="39">
        <v>210569</v>
      </c>
      <c r="M79" s="39">
        <v>0</v>
      </c>
      <c r="N79" s="39">
        <v>12060</v>
      </c>
      <c r="O79" s="39">
        <v>9375</v>
      </c>
      <c r="P79" s="39">
        <v>21781</v>
      </c>
      <c r="Q79" s="39">
        <v>8852</v>
      </c>
      <c r="R79" s="38">
        <v>0</v>
      </c>
      <c r="S79" s="38">
        <v>0</v>
      </c>
      <c r="T79" s="42">
        <v>9584</v>
      </c>
      <c r="U79" s="42">
        <v>291459</v>
      </c>
      <c r="V79" s="38"/>
      <c r="W79" s="34">
        <f t="shared" si="2"/>
        <v>4007973</v>
      </c>
    </row>
    <row r="80" spans="1:23" s="41" customFormat="1" ht="12.5" thickBot="1" x14ac:dyDescent="0.4">
      <c r="A80" s="36" t="s">
        <v>20</v>
      </c>
      <c r="B80" s="37">
        <v>46143</v>
      </c>
      <c r="C80" s="38" t="s">
        <v>70</v>
      </c>
      <c r="D80" s="38" t="s">
        <v>71</v>
      </c>
      <c r="E80" s="38" t="s">
        <v>32</v>
      </c>
      <c r="F80" s="38" t="s">
        <v>63</v>
      </c>
      <c r="G80" s="38">
        <v>30000</v>
      </c>
      <c r="H80" s="38">
        <v>0</v>
      </c>
      <c r="I80" s="39">
        <v>1090864</v>
      </c>
      <c r="J80" s="38">
        <v>0</v>
      </c>
      <c r="K80" s="38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79236.149999999994</v>
      </c>
      <c r="V80" s="38"/>
      <c r="W80" s="34">
        <f t="shared" si="2"/>
        <v>1170100.1499999999</v>
      </c>
    </row>
    <row r="81" spans="1:23" s="47" customFormat="1" ht="12.5" thickBot="1" x14ac:dyDescent="0.4">
      <c r="A81" s="43" t="s">
        <v>20</v>
      </c>
      <c r="B81" s="44">
        <v>46143</v>
      </c>
      <c r="C81" s="45" t="s">
        <v>85</v>
      </c>
      <c r="D81" s="45" t="s">
        <v>72</v>
      </c>
      <c r="E81" s="45" t="s">
        <v>32</v>
      </c>
      <c r="F81" s="45" t="s">
        <v>63</v>
      </c>
      <c r="G81" s="45">
        <v>21000</v>
      </c>
      <c r="H81" s="45">
        <v>0</v>
      </c>
      <c r="I81" s="46">
        <v>489522</v>
      </c>
      <c r="J81" s="46">
        <v>69561</v>
      </c>
      <c r="K81" s="46">
        <v>105099</v>
      </c>
      <c r="L81" s="46">
        <v>17967</v>
      </c>
      <c r="M81" s="46">
        <v>7410</v>
      </c>
      <c r="N81" s="46">
        <v>2732</v>
      </c>
      <c r="O81" s="46">
        <v>5814</v>
      </c>
      <c r="P81" s="46">
        <v>5153</v>
      </c>
      <c r="Q81" s="46">
        <v>0</v>
      </c>
      <c r="R81" s="46">
        <v>0</v>
      </c>
      <c r="S81" s="46">
        <v>1400</v>
      </c>
      <c r="T81" s="46">
        <v>0</v>
      </c>
      <c r="U81" s="46">
        <v>0</v>
      </c>
      <c r="V81" s="45"/>
      <c r="W81" s="34">
        <f t="shared" si="2"/>
        <v>704658</v>
      </c>
    </row>
    <row r="82" spans="1:23" s="53" customFormat="1" ht="15" thickBot="1" x14ac:dyDescent="0.4">
      <c r="A82" s="48" t="s">
        <v>20</v>
      </c>
      <c r="B82" s="49">
        <v>46174</v>
      </c>
      <c r="C82" s="50" t="s">
        <v>29</v>
      </c>
      <c r="D82" s="50" t="s">
        <v>46</v>
      </c>
      <c r="E82" s="50" t="s">
        <v>23</v>
      </c>
      <c r="F82" s="50" t="s">
        <v>47</v>
      </c>
      <c r="G82" s="50">
        <v>7400</v>
      </c>
      <c r="H82" s="50">
        <v>0</v>
      </c>
      <c r="I82" s="50">
        <v>32370</v>
      </c>
      <c r="J82" s="51">
        <v>33665.333333333336</v>
      </c>
      <c r="K82" s="51">
        <v>0</v>
      </c>
      <c r="L82" s="51"/>
      <c r="M82" s="50">
        <v>1964</v>
      </c>
      <c r="N82" s="50">
        <v>504</v>
      </c>
      <c r="O82" s="50">
        <v>1475</v>
      </c>
      <c r="P82" s="50">
        <v>3740</v>
      </c>
      <c r="Q82" s="50">
        <v>0</v>
      </c>
      <c r="R82" s="50">
        <v>0</v>
      </c>
      <c r="S82" s="117"/>
      <c r="T82" s="117"/>
      <c r="U82" s="117"/>
      <c r="V82" s="117"/>
      <c r="W82" s="52">
        <f t="shared" ref="W82:W120" si="3">SUM(I82:U82)</f>
        <v>73718.333333333343</v>
      </c>
    </row>
    <row r="83" spans="1:23" s="58" customFormat="1" ht="15" thickBot="1" x14ac:dyDescent="0.4">
      <c r="A83" s="54" t="s">
        <v>20</v>
      </c>
      <c r="B83" s="55">
        <v>46174</v>
      </c>
      <c r="C83" s="56" t="s">
        <v>68</v>
      </c>
      <c r="D83" s="56" t="s">
        <v>46</v>
      </c>
      <c r="E83" s="56" t="s">
        <v>23</v>
      </c>
      <c r="F83" s="56" t="s">
        <v>47</v>
      </c>
      <c r="G83" s="56">
        <v>127392</v>
      </c>
      <c r="H83" s="56">
        <v>0</v>
      </c>
      <c r="I83" s="56">
        <v>3002946</v>
      </c>
      <c r="J83" s="57">
        <v>215613</v>
      </c>
      <c r="K83" s="56">
        <v>0</v>
      </c>
      <c r="L83" s="57"/>
      <c r="M83" s="56">
        <v>53094</v>
      </c>
      <c r="N83" s="60"/>
      <c r="O83" s="60"/>
      <c r="P83" s="60"/>
      <c r="Q83" s="60"/>
      <c r="R83" s="56">
        <v>10500</v>
      </c>
      <c r="S83" s="60"/>
      <c r="T83" s="56">
        <v>10353</v>
      </c>
      <c r="U83" s="56">
        <v>118671</v>
      </c>
      <c r="V83" s="60" t="s">
        <v>87</v>
      </c>
      <c r="W83" s="52">
        <f t="shared" si="3"/>
        <v>3411177</v>
      </c>
    </row>
    <row r="84" spans="1:23" s="58" customFormat="1" ht="15" thickBot="1" x14ac:dyDescent="0.4">
      <c r="A84" s="54" t="s">
        <v>20</v>
      </c>
      <c r="B84" s="55">
        <v>46174</v>
      </c>
      <c r="C84" s="56" t="s">
        <v>49</v>
      </c>
      <c r="D84" s="56" t="s">
        <v>46</v>
      </c>
      <c r="E84" s="56" t="s">
        <v>23</v>
      </c>
      <c r="F84" s="56" t="s">
        <v>47</v>
      </c>
      <c r="G84" s="56">
        <v>10000</v>
      </c>
      <c r="H84" s="56">
        <v>4000</v>
      </c>
      <c r="I84" s="56">
        <v>98759</v>
      </c>
      <c r="J84" s="57">
        <v>33665</v>
      </c>
      <c r="K84" s="56">
        <v>17350</v>
      </c>
      <c r="L84" s="57"/>
      <c r="M84" s="56">
        <v>2700</v>
      </c>
      <c r="N84" s="56">
        <v>648</v>
      </c>
      <c r="O84" s="56">
        <v>4840</v>
      </c>
      <c r="P84" s="56">
        <v>699</v>
      </c>
      <c r="Q84" s="60"/>
      <c r="R84" s="56">
        <v>3376</v>
      </c>
      <c r="S84" s="60"/>
      <c r="T84" s="60"/>
      <c r="U84" s="60"/>
      <c r="V84" s="60"/>
      <c r="W84" s="52">
        <f t="shared" si="3"/>
        <v>162037</v>
      </c>
    </row>
    <row r="85" spans="1:23" s="58" customFormat="1" ht="15" thickBot="1" x14ac:dyDescent="0.4">
      <c r="A85" s="54" t="s">
        <v>20</v>
      </c>
      <c r="B85" s="55">
        <v>46174</v>
      </c>
      <c r="C85" s="56" t="s">
        <v>50</v>
      </c>
      <c r="D85" s="56" t="s">
        <v>46</v>
      </c>
      <c r="E85" s="56" t="s">
        <v>23</v>
      </c>
      <c r="F85" s="56" t="s">
        <v>47</v>
      </c>
      <c r="G85" s="56">
        <v>15000</v>
      </c>
      <c r="H85" s="56">
        <v>1663</v>
      </c>
      <c r="I85" s="56">
        <v>191909</v>
      </c>
      <c r="J85" s="57">
        <v>33665</v>
      </c>
      <c r="K85" s="56">
        <f>5650+129372</f>
        <v>135022</v>
      </c>
      <c r="L85" s="57"/>
      <c r="M85" s="56">
        <v>6168</v>
      </c>
      <c r="N85" s="56">
        <v>864</v>
      </c>
      <c r="O85" s="56">
        <v>7610</v>
      </c>
      <c r="P85" s="56">
        <v>9119</v>
      </c>
      <c r="Q85" s="56">
        <v>14000</v>
      </c>
      <c r="R85" s="56">
        <v>4335</v>
      </c>
      <c r="S85" s="60"/>
      <c r="T85" s="60"/>
      <c r="U85" s="60"/>
      <c r="V85" s="60"/>
      <c r="W85" s="52">
        <f t="shared" si="3"/>
        <v>402692</v>
      </c>
    </row>
    <row r="86" spans="1:23" s="58" customFormat="1" ht="15" thickBot="1" x14ac:dyDescent="0.4">
      <c r="A86" s="54" t="s">
        <v>20</v>
      </c>
      <c r="B86" s="55">
        <v>46174</v>
      </c>
      <c r="C86" s="56" t="s">
        <v>21</v>
      </c>
      <c r="D86" s="56" t="s">
        <v>22</v>
      </c>
      <c r="E86" s="56" t="s">
        <v>23</v>
      </c>
      <c r="F86" s="56" t="s">
        <v>42</v>
      </c>
      <c r="G86" s="56">
        <v>11702</v>
      </c>
      <c r="H86" s="56">
        <v>0</v>
      </c>
      <c r="I86" s="56">
        <v>131762</v>
      </c>
      <c r="J86" s="57">
        <v>93297</v>
      </c>
      <c r="K86" s="56">
        <v>2400</v>
      </c>
      <c r="L86" s="57">
        <f>23859/4</f>
        <v>5964.75</v>
      </c>
      <c r="M86" s="56">
        <v>4692</v>
      </c>
      <c r="N86" s="56">
        <v>2660</v>
      </c>
      <c r="O86" s="56">
        <v>47035</v>
      </c>
      <c r="P86" s="56">
        <v>0</v>
      </c>
      <c r="Q86" s="56">
        <v>0</v>
      </c>
      <c r="R86" s="56">
        <v>0</v>
      </c>
      <c r="S86" s="56">
        <v>0</v>
      </c>
      <c r="T86" s="56">
        <v>1770</v>
      </c>
      <c r="U86" s="56">
        <v>254550</v>
      </c>
      <c r="V86" s="56" t="s">
        <v>91</v>
      </c>
      <c r="W86" s="52">
        <f t="shared" si="3"/>
        <v>544130.75</v>
      </c>
    </row>
    <row r="87" spans="1:23" s="58" customFormat="1" ht="15" thickBot="1" x14ac:dyDescent="0.4">
      <c r="A87" s="54" t="s">
        <v>20</v>
      </c>
      <c r="B87" s="55">
        <v>46174</v>
      </c>
      <c r="C87" s="56" t="s">
        <v>26</v>
      </c>
      <c r="D87" s="56" t="s">
        <v>22</v>
      </c>
      <c r="E87" s="56" t="s">
        <v>23</v>
      </c>
      <c r="F87" s="56" t="s">
        <v>42</v>
      </c>
      <c r="G87" s="56">
        <v>15000</v>
      </c>
      <c r="H87" s="56">
        <v>4000</v>
      </c>
      <c r="I87" s="56">
        <v>521956</v>
      </c>
      <c r="J87" s="57">
        <v>52818.5</v>
      </c>
      <c r="K87" s="56">
        <v>0</v>
      </c>
      <c r="L87" s="57">
        <v>5965</v>
      </c>
      <c r="M87" s="56">
        <v>13707</v>
      </c>
      <c r="N87" s="56">
        <v>7520</v>
      </c>
      <c r="O87" s="56">
        <v>49882</v>
      </c>
      <c r="P87" s="56">
        <v>2500</v>
      </c>
      <c r="Q87" s="56">
        <v>13333</v>
      </c>
      <c r="R87" s="56">
        <v>8993</v>
      </c>
      <c r="S87" s="56">
        <v>3125</v>
      </c>
      <c r="T87" s="56">
        <v>1770</v>
      </c>
      <c r="U87" s="56">
        <v>4200</v>
      </c>
      <c r="V87" s="56" t="s">
        <v>86</v>
      </c>
      <c r="W87" s="52">
        <f t="shared" si="3"/>
        <v>685769.5</v>
      </c>
    </row>
    <row r="88" spans="1:23" s="58" customFormat="1" ht="15" thickBot="1" x14ac:dyDescent="0.4">
      <c r="A88" s="54" t="s">
        <v>20</v>
      </c>
      <c r="B88" s="55">
        <v>46174</v>
      </c>
      <c r="C88" s="56" t="s">
        <v>28</v>
      </c>
      <c r="D88" s="56" t="s">
        <v>22</v>
      </c>
      <c r="E88" s="56" t="s">
        <v>23</v>
      </c>
      <c r="F88" s="56" t="s">
        <v>42</v>
      </c>
      <c r="G88" s="56">
        <v>11014</v>
      </c>
      <c r="H88" s="56">
        <v>0</v>
      </c>
      <c r="I88" s="56">
        <v>89879</v>
      </c>
      <c r="J88" s="56">
        <v>0</v>
      </c>
      <c r="K88" s="56">
        <v>0</v>
      </c>
      <c r="L88" s="57">
        <v>5965</v>
      </c>
      <c r="M88" s="56">
        <v>1824</v>
      </c>
      <c r="N88" s="56">
        <v>0</v>
      </c>
      <c r="O88" s="56">
        <v>0</v>
      </c>
      <c r="P88" s="56">
        <v>0</v>
      </c>
      <c r="Q88" s="56">
        <v>13333</v>
      </c>
      <c r="R88" s="56">
        <v>0</v>
      </c>
      <c r="S88" s="56">
        <v>3125</v>
      </c>
      <c r="T88" s="56">
        <v>1770</v>
      </c>
      <c r="U88" s="56">
        <v>0</v>
      </c>
      <c r="V88" s="60"/>
      <c r="W88" s="52">
        <f t="shared" si="3"/>
        <v>115896</v>
      </c>
    </row>
    <row r="89" spans="1:23" s="58" customFormat="1" ht="15" thickBot="1" x14ac:dyDescent="0.4">
      <c r="A89" s="54" t="s">
        <v>20</v>
      </c>
      <c r="B89" s="55">
        <v>46174</v>
      </c>
      <c r="C89" s="56" t="s">
        <v>29</v>
      </c>
      <c r="D89" s="56" t="s">
        <v>22</v>
      </c>
      <c r="E89" s="56" t="s">
        <v>23</v>
      </c>
      <c r="F89" s="56" t="s">
        <v>42</v>
      </c>
      <c r="G89" s="56">
        <v>14565</v>
      </c>
      <c r="H89" s="56">
        <v>0</v>
      </c>
      <c r="I89" s="56">
        <v>44006</v>
      </c>
      <c r="J89" s="57">
        <v>52818.5</v>
      </c>
      <c r="K89" s="56">
        <v>0</v>
      </c>
      <c r="L89" s="57">
        <v>5965</v>
      </c>
      <c r="M89" s="56">
        <v>2880</v>
      </c>
      <c r="N89" s="56">
        <v>8360</v>
      </c>
      <c r="O89" s="56">
        <v>0</v>
      </c>
      <c r="P89" s="56">
        <v>0</v>
      </c>
      <c r="Q89" s="56">
        <v>13333</v>
      </c>
      <c r="R89" s="56">
        <v>4000</v>
      </c>
      <c r="S89" s="56">
        <v>3125</v>
      </c>
      <c r="T89" s="56">
        <v>1770</v>
      </c>
      <c r="U89" s="56">
        <v>0</v>
      </c>
      <c r="V89" s="60"/>
      <c r="W89" s="52">
        <f t="shared" si="3"/>
        <v>136257.5</v>
      </c>
    </row>
    <row r="90" spans="1:23" s="58" customFormat="1" ht="15" thickBot="1" x14ac:dyDescent="0.4">
      <c r="A90" s="54" t="s">
        <v>20</v>
      </c>
      <c r="B90" s="55">
        <v>46174</v>
      </c>
      <c r="C90" s="56" t="s">
        <v>85</v>
      </c>
      <c r="D90" s="56" t="s">
        <v>31</v>
      </c>
      <c r="E90" s="56" t="s">
        <v>32</v>
      </c>
      <c r="F90" s="56" t="s">
        <v>42</v>
      </c>
      <c r="G90" s="56">
        <v>10437</v>
      </c>
      <c r="H90" s="56">
        <v>0</v>
      </c>
      <c r="I90" s="56">
        <v>192070</v>
      </c>
      <c r="J90" s="56">
        <v>52662</v>
      </c>
      <c r="K90" s="56">
        <v>0</v>
      </c>
      <c r="L90" s="57">
        <v>3056</v>
      </c>
      <c r="M90" s="56">
        <v>3204</v>
      </c>
      <c r="N90" s="56">
        <v>2250</v>
      </c>
      <c r="O90" s="56">
        <v>0</v>
      </c>
      <c r="P90" s="56">
        <v>5000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60"/>
      <c r="W90" s="52">
        <f t="shared" si="3"/>
        <v>258242</v>
      </c>
    </row>
    <row r="91" spans="1:23" s="58" customFormat="1" ht="15" thickBot="1" x14ac:dyDescent="0.4">
      <c r="A91" s="54" t="s">
        <v>20</v>
      </c>
      <c r="B91" s="55">
        <v>46174</v>
      </c>
      <c r="C91" s="56" t="s">
        <v>33</v>
      </c>
      <c r="D91" s="56" t="s">
        <v>34</v>
      </c>
      <c r="E91" s="56" t="s">
        <v>32</v>
      </c>
      <c r="F91" s="56" t="s">
        <v>42</v>
      </c>
      <c r="G91" s="56">
        <v>40000</v>
      </c>
      <c r="H91" s="56">
        <v>0</v>
      </c>
      <c r="I91" s="56">
        <v>3358523</v>
      </c>
      <c r="J91" s="56">
        <v>429887</v>
      </c>
      <c r="K91" s="56">
        <v>0</v>
      </c>
      <c r="L91" s="57">
        <v>75000</v>
      </c>
      <c r="M91" s="56">
        <v>30936</v>
      </c>
      <c r="N91" s="56">
        <v>16725</v>
      </c>
      <c r="O91" s="56">
        <v>25330</v>
      </c>
      <c r="P91" s="56">
        <v>5000</v>
      </c>
      <c r="Q91" s="56">
        <v>15000</v>
      </c>
      <c r="R91" s="56">
        <v>0</v>
      </c>
      <c r="S91" s="56">
        <v>15000</v>
      </c>
      <c r="T91" s="56">
        <v>4200</v>
      </c>
      <c r="U91" s="56">
        <v>1200</v>
      </c>
      <c r="V91" s="56" t="s">
        <v>74</v>
      </c>
      <c r="W91" s="52">
        <f t="shared" si="3"/>
        <v>3976801</v>
      </c>
    </row>
    <row r="92" spans="1:23" s="58" customFormat="1" ht="15" thickBot="1" x14ac:dyDescent="0.4">
      <c r="A92" s="54" t="s">
        <v>20</v>
      </c>
      <c r="B92" s="55">
        <v>46174</v>
      </c>
      <c r="C92" s="56" t="s">
        <v>89</v>
      </c>
      <c r="D92" s="56" t="s">
        <v>37</v>
      </c>
      <c r="E92" s="56" t="s">
        <v>23</v>
      </c>
      <c r="F92" s="56" t="s">
        <v>42</v>
      </c>
      <c r="G92" s="56">
        <v>5000</v>
      </c>
      <c r="H92" s="56">
        <v>0</v>
      </c>
      <c r="I92" s="57">
        <v>217681</v>
      </c>
      <c r="J92" s="57">
        <v>35376</v>
      </c>
      <c r="K92" s="56">
        <v>55328</v>
      </c>
      <c r="L92" s="57">
        <v>15483.333333333334</v>
      </c>
      <c r="M92" s="56"/>
      <c r="N92" s="56">
        <v>1423</v>
      </c>
      <c r="O92" s="56">
        <v>5220</v>
      </c>
      <c r="P92" s="56">
        <v>0</v>
      </c>
      <c r="Q92" s="56">
        <v>2333</v>
      </c>
      <c r="R92" s="56">
        <v>0</v>
      </c>
      <c r="S92" s="56">
        <v>1333</v>
      </c>
      <c r="T92" s="56">
        <v>1770</v>
      </c>
      <c r="U92" s="56">
        <v>0</v>
      </c>
      <c r="V92" s="56"/>
      <c r="W92" s="52">
        <f t="shared" si="3"/>
        <v>335947.33333333331</v>
      </c>
    </row>
    <row r="93" spans="1:23" s="58" customFormat="1" ht="15" thickBot="1" x14ac:dyDescent="0.4">
      <c r="A93" s="54" t="s">
        <v>20</v>
      </c>
      <c r="B93" s="55">
        <v>46174</v>
      </c>
      <c r="C93" s="56" t="s">
        <v>39</v>
      </c>
      <c r="D93" s="56" t="s">
        <v>37</v>
      </c>
      <c r="E93" s="56" t="s">
        <v>23</v>
      </c>
      <c r="F93" s="56" t="s">
        <v>42</v>
      </c>
      <c r="G93" s="56">
        <v>7000</v>
      </c>
      <c r="H93" s="56">
        <v>9000</v>
      </c>
      <c r="I93" s="57">
        <v>96315</v>
      </c>
      <c r="J93" s="57">
        <v>35376</v>
      </c>
      <c r="K93" s="56">
        <v>0</v>
      </c>
      <c r="L93" s="57">
        <v>15483.333333333334</v>
      </c>
      <c r="M93" s="56">
        <v>3328</v>
      </c>
      <c r="N93" s="56">
        <v>1423</v>
      </c>
      <c r="O93" s="56">
        <v>5220</v>
      </c>
      <c r="P93" s="56">
        <v>0</v>
      </c>
      <c r="Q93" s="56">
        <v>2333</v>
      </c>
      <c r="R93" s="56"/>
      <c r="S93" s="56">
        <v>1333</v>
      </c>
      <c r="T93" s="56">
        <v>1770</v>
      </c>
      <c r="U93" s="56">
        <v>0</v>
      </c>
      <c r="V93" s="56"/>
      <c r="W93" s="52">
        <f t="shared" si="3"/>
        <v>162581.33333333334</v>
      </c>
    </row>
    <row r="94" spans="1:23" s="58" customFormat="1" ht="15" thickBot="1" x14ac:dyDescent="0.4">
      <c r="A94" s="54" t="s">
        <v>20</v>
      </c>
      <c r="B94" s="55">
        <v>46174</v>
      </c>
      <c r="C94" s="56" t="s">
        <v>40</v>
      </c>
      <c r="D94" s="56" t="s">
        <v>37</v>
      </c>
      <c r="E94" s="56" t="s">
        <v>23</v>
      </c>
      <c r="F94" s="56" t="s">
        <v>42</v>
      </c>
      <c r="G94" s="56">
        <v>20000</v>
      </c>
      <c r="H94" s="56">
        <v>0</v>
      </c>
      <c r="I94" s="57">
        <v>30222</v>
      </c>
      <c r="J94" s="57">
        <v>35376</v>
      </c>
      <c r="K94" s="56">
        <v>58292</v>
      </c>
      <c r="L94" s="57">
        <v>15483.333333333334</v>
      </c>
      <c r="M94" s="56">
        <v>2120</v>
      </c>
      <c r="N94" s="56">
        <v>1423</v>
      </c>
      <c r="O94" s="56">
        <v>5220</v>
      </c>
      <c r="P94" s="56">
        <v>1000</v>
      </c>
      <c r="Q94" s="56">
        <v>2333</v>
      </c>
      <c r="R94" s="56">
        <v>0</v>
      </c>
      <c r="S94" s="56">
        <v>1333</v>
      </c>
      <c r="T94" s="56">
        <v>1770</v>
      </c>
      <c r="U94" s="56">
        <v>0</v>
      </c>
      <c r="V94" s="60"/>
      <c r="W94" s="52">
        <f t="shared" si="3"/>
        <v>154572.33333333334</v>
      </c>
    </row>
    <row r="95" spans="1:23" s="58" customFormat="1" ht="15" thickBot="1" x14ac:dyDescent="0.4">
      <c r="A95" s="54" t="s">
        <v>20</v>
      </c>
      <c r="B95" s="55">
        <v>46174</v>
      </c>
      <c r="C95" s="56" t="s">
        <v>75</v>
      </c>
      <c r="D95" s="56" t="s">
        <v>76</v>
      </c>
      <c r="E95" s="56" t="s">
        <v>77</v>
      </c>
      <c r="F95" s="56" t="s">
        <v>42</v>
      </c>
      <c r="G95" s="56">
        <v>50000</v>
      </c>
      <c r="H95" s="56">
        <v>0</v>
      </c>
      <c r="I95" s="56">
        <v>208809</v>
      </c>
      <c r="J95" s="56">
        <v>0</v>
      </c>
      <c r="K95" s="56">
        <v>0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6">
        <v>0</v>
      </c>
      <c r="S95" s="56">
        <v>0</v>
      </c>
      <c r="T95" s="56">
        <v>0</v>
      </c>
      <c r="U95" s="56">
        <v>0</v>
      </c>
      <c r="V95" s="56"/>
      <c r="W95" s="52">
        <f t="shared" si="3"/>
        <v>208809</v>
      </c>
    </row>
    <row r="96" spans="1:23" s="58" customFormat="1" ht="15" thickBot="1" x14ac:dyDescent="0.4">
      <c r="A96" s="54"/>
      <c r="B96" s="55">
        <v>46174</v>
      </c>
      <c r="C96" s="56" t="s">
        <v>125</v>
      </c>
      <c r="D96" s="56" t="s">
        <v>120</v>
      </c>
      <c r="E96" s="56" t="s">
        <v>32</v>
      </c>
      <c r="F96" s="56" t="s">
        <v>24</v>
      </c>
      <c r="G96" s="56"/>
      <c r="H96" s="56"/>
      <c r="I96" s="56">
        <v>10611176</v>
      </c>
      <c r="J96" s="57">
        <v>709360.63</v>
      </c>
      <c r="K96" s="56">
        <v>826000</v>
      </c>
      <c r="L96" s="57">
        <v>252067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2"/>
    </row>
    <row r="97" spans="1:23" s="58" customFormat="1" ht="15" thickBot="1" x14ac:dyDescent="0.4">
      <c r="A97" s="54"/>
      <c r="B97" s="55">
        <v>46174</v>
      </c>
      <c r="C97" s="56" t="s">
        <v>126</v>
      </c>
      <c r="D97" s="56" t="s">
        <v>121</v>
      </c>
      <c r="E97" s="56" t="s">
        <v>32</v>
      </c>
      <c r="F97" s="56" t="s">
        <v>24</v>
      </c>
      <c r="G97" s="56"/>
      <c r="H97" s="56"/>
      <c r="I97" s="56">
        <v>3222951</v>
      </c>
      <c r="J97" s="57">
        <v>320923.8</v>
      </c>
      <c r="K97" s="56">
        <v>167300</v>
      </c>
      <c r="L97" s="57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2"/>
    </row>
    <row r="98" spans="1:23" s="58" customFormat="1" ht="15" thickBot="1" x14ac:dyDescent="0.4">
      <c r="A98" s="54" t="s">
        <v>20</v>
      </c>
      <c r="B98" s="55">
        <v>46174</v>
      </c>
      <c r="C98" s="56" t="s">
        <v>123</v>
      </c>
      <c r="D98" s="56" t="s">
        <v>122</v>
      </c>
      <c r="E98" s="56" t="s">
        <v>32</v>
      </c>
      <c r="F98" s="56" t="s">
        <v>24</v>
      </c>
      <c r="G98" s="56">
        <v>164730</v>
      </c>
      <c r="H98" s="56">
        <v>0</v>
      </c>
      <c r="I98" s="56">
        <v>832467</v>
      </c>
      <c r="J98" s="57">
        <v>296462.34000000003</v>
      </c>
      <c r="K98" s="56">
        <v>0</v>
      </c>
      <c r="L98" s="57">
        <v>85953</v>
      </c>
      <c r="M98" s="56"/>
      <c r="N98" s="56"/>
      <c r="O98" s="56"/>
      <c r="P98" s="56"/>
      <c r="Q98" s="57"/>
      <c r="R98" s="57"/>
      <c r="S98" s="56"/>
      <c r="T98" s="57"/>
      <c r="U98" s="56"/>
      <c r="V98" s="56"/>
      <c r="W98" s="52">
        <f t="shared" si="3"/>
        <v>1214882.3400000001</v>
      </c>
    </row>
    <row r="99" spans="1:23" s="58" customFormat="1" ht="15" thickBot="1" x14ac:dyDescent="0.4">
      <c r="A99" s="54" t="s">
        <v>20</v>
      </c>
      <c r="B99" s="55">
        <v>46174</v>
      </c>
      <c r="C99" s="56" t="s">
        <v>33</v>
      </c>
      <c r="D99" s="56" t="s">
        <v>43</v>
      </c>
      <c r="E99" s="56" t="s">
        <v>32</v>
      </c>
      <c r="F99" s="56" t="s">
        <v>24</v>
      </c>
      <c r="G99" s="56">
        <v>43015</v>
      </c>
      <c r="H99" s="56">
        <v>0</v>
      </c>
      <c r="I99" s="56">
        <v>2890740</v>
      </c>
      <c r="J99" s="56">
        <v>270356</v>
      </c>
      <c r="K99" s="56">
        <v>29848</v>
      </c>
      <c r="L99" s="57"/>
      <c r="M99" s="57"/>
      <c r="N99" s="56"/>
      <c r="O99" s="56"/>
      <c r="P99" s="56"/>
      <c r="Q99" s="57"/>
      <c r="R99" s="57"/>
      <c r="S99" s="57"/>
      <c r="T99" s="56"/>
      <c r="U99" s="56"/>
      <c r="V99" s="56"/>
      <c r="W99" s="52">
        <f t="shared" si="3"/>
        <v>3190944</v>
      </c>
    </row>
    <row r="100" spans="1:23" s="58" customFormat="1" ht="15" thickBot="1" x14ac:dyDescent="0.4">
      <c r="A100" s="54" t="s">
        <v>20</v>
      </c>
      <c r="B100" s="55">
        <v>46174</v>
      </c>
      <c r="C100" s="56" t="s">
        <v>44</v>
      </c>
      <c r="D100" s="56" t="s">
        <v>45</v>
      </c>
      <c r="E100" s="56" t="s">
        <v>32</v>
      </c>
      <c r="F100" s="56" t="s">
        <v>24</v>
      </c>
      <c r="G100" s="56">
        <v>25000</v>
      </c>
      <c r="H100" s="56">
        <v>0</v>
      </c>
      <c r="I100" s="56">
        <v>113274</v>
      </c>
      <c r="J100" s="56">
        <v>56967</v>
      </c>
      <c r="K100" s="56">
        <v>0</v>
      </c>
      <c r="L100" s="57">
        <v>0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2">
        <f t="shared" si="3"/>
        <v>170241</v>
      </c>
    </row>
    <row r="101" spans="1:23" s="58" customFormat="1" ht="15" thickBot="1" x14ac:dyDescent="0.4">
      <c r="A101" s="54" t="s">
        <v>20</v>
      </c>
      <c r="B101" s="55">
        <v>46174</v>
      </c>
      <c r="C101" s="56" t="s">
        <v>61</v>
      </c>
      <c r="D101" s="56" t="s">
        <v>62</v>
      </c>
      <c r="E101" s="56" t="s">
        <v>32</v>
      </c>
      <c r="F101" s="56" t="s">
        <v>63</v>
      </c>
      <c r="G101" s="56">
        <v>1306800</v>
      </c>
      <c r="H101" s="56">
        <v>0</v>
      </c>
      <c r="I101" s="57">
        <v>74696</v>
      </c>
      <c r="J101" s="57">
        <v>123760</v>
      </c>
      <c r="K101" s="57">
        <v>0</v>
      </c>
      <c r="L101" s="57">
        <v>14961</v>
      </c>
      <c r="M101" s="60"/>
      <c r="N101" s="60"/>
      <c r="O101" s="59">
        <v>16638</v>
      </c>
      <c r="P101" s="60"/>
      <c r="Q101" s="60"/>
      <c r="R101" s="60"/>
      <c r="S101" s="60"/>
      <c r="T101" s="60"/>
      <c r="U101" s="59">
        <v>4955</v>
      </c>
      <c r="V101" s="60"/>
      <c r="W101" s="52">
        <f t="shared" si="3"/>
        <v>235010</v>
      </c>
    </row>
    <row r="102" spans="1:23" s="58" customFormat="1" ht="15" thickBot="1" x14ac:dyDescent="0.4">
      <c r="A102" s="54" t="s">
        <v>20</v>
      </c>
      <c r="B102" s="55">
        <v>46174</v>
      </c>
      <c r="C102" s="56" t="s">
        <v>85</v>
      </c>
      <c r="D102" s="56" t="s">
        <v>64</v>
      </c>
      <c r="E102" s="56" t="s">
        <v>32</v>
      </c>
      <c r="F102" s="56" t="s">
        <v>63</v>
      </c>
      <c r="G102" s="56">
        <v>11000</v>
      </c>
      <c r="H102" s="56">
        <v>0</v>
      </c>
      <c r="I102" s="57">
        <v>282774</v>
      </c>
      <c r="J102" s="57">
        <v>66801</v>
      </c>
      <c r="K102" s="56">
        <v>0</v>
      </c>
      <c r="L102" s="57">
        <v>4465</v>
      </c>
      <c r="M102" s="59">
        <v>6271</v>
      </c>
      <c r="N102" s="59">
        <v>1800</v>
      </c>
      <c r="O102" s="59">
        <v>2632</v>
      </c>
      <c r="P102" s="59">
        <v>13111</v>
      </c>
      <c r="Q102" s="60"/>
      <c r="R102" s="60"/>
      <c r="S102" s="56">
        <v>777</v>
      </c>
      <c r="T102" s="60"/>
      <c r="U102" s="59">
        <v>1700</v>
      </c>
      <c r="V102" s="60"/>
      <c r="W102" s="52">
        <f t="shared" si="3"/>
        <v>380331</v>
      </c>
    </row>
    <row r="103" spans="1:23" s="58" customFormat="1" ht="15" thickBot="1" x14ac:dyDescent="0.4">
      <c r="A103" s="54" t="s">
        <v>20</v>
      </c>
      <c r="B103" s="55">
        <v>46174</v>
      </c>
      <c r="C103" s="56" t="s">
        <v>65</v>
      </c>
      <c r="D103" s="56" t="s">
        <v>66</v>
      </c>
      <c r="E103" s="56" t="s">
        <v>23</v>
      </c>
      <c r="F103" s="56" t="s">
        <v>63</v>
      </c>
      <c r="G103" s="56">
        <v>49100</v>
      </c>
      <c r="H103" s="56">
        <v>800</v>
      </c>
      <c r="I103" s="57">
        <v>253592</v>
      </c>
      <c r="J103" s="57">
        <v>15855</v>
      </c>
      <c r="K103" s="56">
        <v>0</v>
      </c>
      <c r="L103" s="57">
        <v>46718.25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52">
        <f t="shared" si="3"/>
        <v>316165.25</v>
      </c>
    </row>
    <row r="104" spans="1:23" s="58" customFormat="1" ht="15" thickBot="1" x14ac:dyDescent="0.4">
      <c r="A104" s="54" t="s">
        <v>20</v>
      </c>
      <c r="B104" s="55">
        <v>46174</v>
      </c>
      <c r="C104" s="56" t="s">
        <v>67</v>
      </c>
      <c r="D104" s="56" t="s">
        <v>66</v>
      </c>
      <c r="E104" s="56" t="s">
        <v>23</v>
      </c>
      <c r="F104" s="56" t="s">
        <v>63</v>
      </c>
      <c r="G104" s="56">
        <v>3200</v>
      </c>
      <c r="H104" s="56">
        <v>0</v>
      </c>
      <c r="I104" s="56">
        <v>0</v>
      </c>
      <c r="J104" s="57">
        <v>15855</v>
      </c>
      <c r="K104" s="56">
        <v>0</v>
      </c>
      <c r="L104" s="57">
        <v>46718.25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52">
        <f t="shared" si="3"/>
        <v>62573.25</v>
      </c>
    </row>
    <row r="105" spans="1:23" s="58" customFormat="1" ht="15" thickBot="1" x14ac:dyDescent="0.4">
      <c r="A105" s="54" t="s">
        <v>20</v>
      </c>
      <c r="B105" s="55">
        <v>46174</v>
      </c>
      <c r="C105" s="56" t="s">
        <v>83</v>
      </c>
      <c r="D105" s="56" t="s">
        <v>66</v>
      </c>
      <c r="E105" s="56" t="s">
        <v>23</v>
      </c>
      <c r="F105" s="56" t="s">
        <v>63</v>
      </c>
      <c r="G105" s="56">
        <v>5000</v>
      </c>
      <c r="H105" s="56">
        <v>0</v>
      </c>
      <c r="I105" s="57">
        <v>205955</v>
      </c>
      <c r="J105" s="57">
        <v>47564</v>
      </c>
      <c r="K105" s="56">
        <v>0</v>
      </c>
      <c r="L105" s="57">
        <v>46718.25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52">
        <f t="shared" si="3"/>
        <v>300237.25</v>
      </c>
    </row>
    <row r="106" spans="1:23" s="58" customFormat="1" ht="15" thickBot="1" x14ac:dyDescent="0.4">
      <c r="A106" s="54" t="s">
        <v>20</v>
      </c>
      <c r="B106" s="55">
        <v>46174</v>
      </c>
      <c r="C106" s="56" t="s">
        <v>39</v>
      </c>
      <c r="D106" s="56" t="s">
        <v>66</v>
      </c>
      <c r="E106" s="56" t="s">
        <v>23</v>
      </c>
      <c r="F106" s="56" t="s">
        <v>63</v>
      </c>
      <c r="G106" s="56">
        <v>6000</v>
      </c>
      <c r="H106" s="56">
        <v>3000</v>
      </c>
      <c r="I106" s="57">
        <v>79390</v>
      </c>
      <c r="J106" s="57">
        <v>15855</v>
      </c>
      <c r="K106" s="56">
        <v>0</v>
      </c>
      <c r="L106" s="57">
        <v>46718.25</v>
      </c>
      <c r="M106" s="60"/>
      <c r="N106" s="60"/>
      <c r="O106" s="60"/>
      <c r="P106" s="60"/>
      <c r="Q106" s="60"/>
      <c r="R106" s="60"/>
      <c r="S106" s="56">
        <v>589</v>
      </c>
      <c r="T106" s="60"/>
      <c r="U106" s="60"/>
      <c r="V106" s="60"/>
      <c r="W106" s="52">
        <f t="shared" si="3"/>
        <v>142552.25</v>
      </c>
    </row>
    <row r="107" spans="1:23" s="58" customFormat="1" ht="15" thickBot="1" x14ac:dyDescent="0.4">
      <c r="A107" s="54" t="s">
        <v>20</v>
      </c>
      <c r="B107" s="55">
        <v>46174</v>
      </c>
      <c r="C107" s="56" t="s">
        <v>68</v>
      </c>
      <c r="D107" s="56" t="s">
        <v>69</v>
      </c>
      <c r="E107" s="56" t="s">
        <v>32</v>
      </c>
      <c r="F107" s="56" t="s">
        <v>63</v>
      </c>
      <c r="G107" s="56">
        <v>108561</v>
      </c>
      <c r="H107" s="56">
        <v>0</v>
      </c>
      <c r="I107" s="57">
        <v>3653556</v>
      </c>
      <c r="J107" s="57">
        <v>464351.14</v>
      </c>
      <c r="K107" s="56">
        <v>0</v>
      </c>
      <c r="L107" s="57">
        <v>177765</v>
      </c>
      <c r="M107" s="56">
        <v>0</v>
      </c>
      <c r="N107" s="59">
        <v>16920</v>
      </c>
      <c r="O107" s="59">
        <v>14220</v>
      </c>
      <c r="P107" s="60"/>
      <c r="Q107" s="59">
        <v>38663</v>
      </c>
      <c r="R107" s="60"/>
      <c r="S107" s="60"/>
      <c r="T107" s="59">
        <v>9584</v>
      </c>
      <c r="U107" s="59">
        <v>348370</v>
      </c>
      <c r="V107" s="60"/>
      <c r="W107" s="52">
        <f t="shared" si="3"/>
        <v>4723429.1400000006</v>
      </c>
    </row>
    <row r="108" spans="1:23" s="58" customFormat="1" ht="15" thickBot="1" x14ac:dyDescent="0.4">
      <c r="A108" s="54" t="s">
        <v>20</v>
      </c>
      <c r="B108" s="55">
        <v>46174</v>
      </c>
      <c r="C108" s="56" t="s">
        <v>70</v>
      </c>
      <c r="D108" s="56" t="s">
        <v>71</v>
      </c>
      <c r="E108" s="56" t="s">
        <v>32</v>
      </c>
      <c r="F108" s="56" t="s">
        <v>63</v>
      </c>
      <c r="G108" s="56">
        <v>30000</v>
      </c>
      <c r="H108" s="56">
        <v>0</v>
      </c>
      <c r="I108" s="57">
        <v>982144</v>
      </c>
      <c r="J108" s="56">
        <v>0</v>
      </c>
      <c r="K108" s="56">
        <v>0</v>
      </c>
      <c r="L108" s="57">
        <v>0</v>
      </c>
      <c r="M108" s="60"/>
      <c r="N108" s="60"/>
      <c r="O108" s="60"/>
      <c r="P108" s="60"/>
      <c r="Q108" s="60"/>
      <c r="R108" s="60"/>
      <c r="S108" s="60"/>
      <c r="T108" s="60"/>
      <c r="U108" s="59">
        <v>90122</v>
      </c>
      <c r="V108" s="60"/>
      <c r="W108" s="52">
        <f t="shared" si="3"/>
        <v>1072266</v>
      </c>
    </row>
    <row r="109" spans="1:23" s="58" customFormat="1" ht="15" thickBot="1" x14ac:dyDescent="0.4">
      <c r="A109" s="54" t="s">
        <v>20</v>
      </c>
      <c r="B109" s="55">
        <v>46174</v>
      </c>
      <c r="C109" s="56" t="s">
        <v>85</v>
      </c>
      <c r="D109" s="56" t="s">
        <v>72</v>
      </c>
      <c r="E109" s="56" t="s">
        <v>32</v>
      </c>
      <c r="F109" s="56" t="s">
        <v>63</v>
      </c>
      <c r="G109" s="56">
        <v>21000</v>
      </c>
      <c r="H109" s="56">
        <v>0</v>
      </c>
      <c r="I109" s="57">
        <v>504252</v>
      </c>
      <c r="J109" s="57">
        <v>69561</v>
      </c>
      <c r="K109" s="57">
        <v>121794</v>
      </c>
      <c r="L109" s="57">
        <v>17967</v>
      </c>
      <c r="M109" s="59">
        <v>7410</v>
      </c>
      <c r="N109" s="59">
        <v>2462</v>
      </c>
      <c r="O109" s="59">
        <v>7097</v>
      </c>
      <c r="P109" s="59">
        <v>5300</v>
      </c>
      <c r="Q109" s="60"/>
      <c r="R109" s="60"/>
      <c r="S109" s="59">
        <v>1400</v>
      </c>
      <c r="T109" s="60"/>
      <c r="U109" s="60"/>
      <c r="V109" s="60"/>
      <c r="W109" s="52">
        <f t="shared" si="3"/>
        <v>737243</v>
      </c>
    </row>
    <row r="110" spans="1:23" s="58" customFormat="1" ht="15" thickBot="1" x14ac:dyDescent="0.4">
      <c r="A110" s="54" t="s">
        <v>20</v>
      </c>
      <c r="B110" s="55">
        <v>46174</v>
      </c>
      <c r="C110" s="56" t="s">
        <v>83</v>
      </c>
      <c r="D110" s="56" t="s">
        <v>82</v>
      </c>
      <c r="E110" s="56" t="s">
        <v>23</v>
      </c>
      <c r="F110" s="56" t="s">
        <v>51</v>
      </c>
      <c r="G110" s="56">
        <v>3000</v>
      </c>
      <c r="H110" s="56">
        <v>0</v>
      </c>
      <c r="I110" s="56">
        <v>73711</v>
      </c>
      <c r="J110" s="57">
        <v>0</v>
      </c>
      <c r="K110" s="56">
        <v>31850</v>
      </c>
      <c r="L110" s="57">
        <v>0</v>
      </c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2">
        <f t="shared" si="3"/>
        <v>105561</v>
      </c>
    </row>
    <row r="111" spans="1:23" s="58" customFormat="1" ht="15" thickBot="1" x14ac:dyDescent="0.4">
      <c r="A111" s="54" t="s">
        <v>20</v>
      </c>
      <c r="B111" s="55">
        <v>46174</v>
      </c>
      <c r="C111" s="56" t="s">
        <v>85</v>
      </c>
      <c r="D111" s="56" t="s">
        <v>82</v>
      </c>
      <c r="E111" s="56" t="s">
        <v>23</v>
      </c>
      <c r="F111" s="56" t="s">
        <v>51</v>
      </c>
      <c r="G111" s="56">
        <v>37309</v>
      </c>
      <c r="H111" s="56">
        <v>0</v>
      </c>
      <c r="I111" s="56">
        <v>623631</v>
      </c>
      <c r="J111" s="57">
        <v>67483</v>
      </c>
      <c r="K111" s="56">
        <v>0</v>
      </c>
      <c r="L111" s="57">
        <v>50750</v>
      </c>
      <c r="M111" s="57"/>
      <c r="N111" s="56">
        <v>7350</v>
      </c>
      <c r="O111" s="56">
        <v>5103</v>
      </c>
      <c r="P111" s="56">
        <v>8815</v>
      </c>
      <c r="Q111" s="56">
        <v>0</v>
      </c>
      <c r="R111" s="56"/>
      <c r="S111" s="56"/>
      <c r="T111" s="56"/>
      <c r="U111" s="56"/>
      <c r="V111" s="56"/>
      <c r="W111" s="52">
        <f t="shared" si="3"/>
        <v>763132</v>
      </c>
    </row>
    <row r="112" spans="1:23" s="58" customFormat="1" ht="15" thickBot="1" x14ac:dyDescent="0.4">
      <c r="A112" s="54" t="s">
        <v>20</v>
      </c>
      <c r="B112" s="55">
        <v>46174</v>
      </c>
      <c r="C112" s="56" t="s">
        <v>29</v>
      </c>
      <c r="D112" s="56" t="s">
        <v>80</v>
      </c>
      <c r="E112" s="56" t="s">
        <v>23</v>
      </c>
      <c r="F112" s="56" t="s">
        <v>51</v>
      </c>
      <c r="G112" s="56">
        <v>30000</v>
      </c>
      <c r="H112" s="56">
        <v>0</v>
      </c>
      <c r="I112" s="57">
        <v>110077</v>
      </c>
      <c r="J112" s="57">
        <v>66160</v>
      </c>
      <c r="K112" s="57">
        <v>0</v>
      </c>
      <c r="L112" s="57">
        <v>14320</v>
      </c>
      <c r="M112" s="56">
        <v>2360</v>
      </c>
      <c r="N112" s="56">
        <v>2677</v>
      </c>
      <c r="O112" s="56">
        <v>1687</v>
      </c>
      <c r="P112" s="56">
        <v>3310</v>
      </c>
      <c r="Q112" s="57">
        <v>0</v>
      </c>
      <c r="R112" s="59">
        <v>1250</v>
      </c>
      <c r="S112" s="57"/>
      <c r="T112" s="57">
        <v>2539</v>
      </c>
      <c r="U112" s="57">
        <v>400</v>
      </c>
      <c r="V112" s="56" t="s">
        <v>88</v>
      </c>
      <c r="W112" s="52">
        <f t="shared" si="3"/>
        <v>204780</v>
      </c>
    </row>
    <row r="113" spans="1:23" s="58" customFormat="1" ht="15" thickBot="1" x14ac:dyDescent="0.4">
      <c r="A113" s="54" t="s">
        <v>20</v>
      </c>
      <c r="B113" s="55">
        <v>46174</v>
      </c>
      <c r="C113" s="56" t="s">
        <v>53</v>
      </c>
      <c r="D113" s="56" t="s">
        <v>80</v>
      </c>
      <c r="E113" s="56" t="s">
        <v>23</v>
      </c>
      <c r="F113" s="56" t="s">
        <v>51</v>
      </c>
      <c r="G113" s="56">
        <v>22250</v>
      </c>
      <c r="H113" s="56">
        <v>2178</v>
      </c>
      <c r="I113" s="57">
        <v>110077</v>
      </c>
      <c r="J113" s="57">
        <v>33080</v>
      </c>
      <c r="K113" s="56">
        <v>0</v>
      </c>
      <c r="L113" s="57">
        <v>14320</v>
      </c>
      <c r="M113" s="56">
        <v>2720</v>
      </c>
      <c r="N113" s="56">
        <v>2677</v>
      </c>
      <c r="O113" s="56">
        <v>1687</v>
      </c>
      <c r="P113" s="56">
        <v>0</v>
      </c>
      <c r="Q113" s="57">
        <v>0</v>
      </c>
      <c r="R113" s="59">
        <v>1250</v>
      </c>
      <c r="S113" s="57"/>
      <c r="T113" s="57">
        <v>2539</v>
      </c>
      <c r="U113" s="57"/>
      <c r="V113" s="56"/>
      <c r="W113" s="52">
        <f t="shared" si="3"/>
        <v>168350</v>
      </c>
    </row>
    <row r="114" spans="1:23" s="58" customFormat="1" ht="15" thickBot="1" x14ac:dyDescent="0.4">
      <c r="A114" s="54" t="s">
        <v>20</v>
      </c>
      <c r="B114" s="55">
        <v>46174</v>
      </c>
      <c r="C114" s="56" t="s">
        <v>54</v>
      </c>
      <c r="D114" s="56" t="s">
        <v>81</v>
      </c>
      <c r="E114" s="56" t="s">
        <v>23</v>
      </c>
      <c r="F114" s="56" t="s">
        <v>51</v>
      </c>
      <c r="G114" s="56">
        <v>177720</v>
      </c>
      <c r="H114" s="56">
        <v>0</v>
      </c>
      <c r="I114" s="57">
        <v>2551769</v>
      </c>
      <c r="J114" s="57">
        <v>288401</v>
      </c>
      <c r="K114" s="56">
        <v>280990</v>
      </c>
      <c r="L114" s="57">
        <v>165320</v>
      </c>
      <c r="M114" s="56">
        <v>78925</v>
      </c>
      <c r="N114" s="56">
        <v>41900</v>
      </c>
      <c r="O114" s="56">
        <v>67583</v>
      </c>
      <c r="P114" s="56">
        <v>13070</v>
      </c>
      <c r="Q114" s="57">
        <v>0</v>
      </c>
      <c r="R114" s="59">
        <v>17070</v>
      </c>
      <c r="S114" s="56"/>
      <c r="T114" s="56">
        <v>8654</v>
      </c>
      <c r="U114" s="56"/>
      <c r="V114" s="56"/>
      <c r="W114" s="52">
        <f t="shared" si="3"/>
        <v>3513682</v>
      </c>
    </row>
    <row r="115" spans="1:23" s="58" customFormat="1" ht="15" thickBot="1" x14ac:dyDescent="0.4">
      <c r="A115" s="54" t="s">
        <v>20</v>
      </c>
      <c r="B115" s="55">
        <v>46174</v>
      </c>
      <c r="C115" s="56" t="s">
        <v>56</v>
      </c>
      <c r="D115" s="56" t="s">
        <v>81</v>
      </c>
      <c r="E115" s="56" t="s">
        <v>23</v>
      </c>
      <c r="F115" s="56" t="s">
        <v>51</v>
      </c>
      <c r="G115" s="56">
        <v>12500</v>
      </c>
      <c r="H115" s="56">
        <v>0</v>
      </c>
      <c r="I115" s="57">
        <v>977637</v>
      </c>
      <c r="J115" s="57">
        <v>72100</v>
      </c>
      <c r="K115" s="56">
        <v>8450</v>
      </c>
      <c r="L115" s="57">
        <v>41330</v>
      </c>
      <c r="M115" s="56">
        <v>35490</v>
      </c>
      <c r="N115" s="56">
        <v>7150</v>
      </c>
      <c r="O115" s="56"/>
      <c r="P115" s="56">
        <v>0</v>
      </c>
      <c r="Q115" s="56"/>
      <c r="R115" s="56"/>
      <c r="S115" s="56"/>
      <c r="T115" s="56"/>
      <c r="U115" s="56"/>
      <c r="V115" s="56"/>
      <c r="W115" s="52">
        <f t="shared" si="3"/>
        <v>1142157</v>
      </c>
    </row>
    <row r="116" spans="1:23" s="58" customFormat="1" ht="15" thickBot="1" x14ac:dyDescent="0.4">
      <c r="A116" s="54" t="s">
        <v>20</v>
      </c>
      <c r="B116" s="55">
        <v>46174</v>
      </c>
      <c r="C116" s="56" t="s">
        <v>57</v>
      </c>
      <c r="D116" s="56" t="s">
        <v>84</v>
      </c>
      <c r="E116" s="56" t="s">
        <v>23</v>
      </c>
      <c r="F116" s="56" t="s">
        <v>51</v>
      </c>
      <c r="G116" s="56">
        <v>18000</v>
      </c>
      <c r="H116" s="56">
        <v>0</v>
      </c>
      <c r="I116" s="56">
        <v>32963</v>
      </c>
      <c r="J116" s="57">
        <v>31657</v>
      </c>
      <c r="K116" s="56">
        <v>270075</v>
      </c>
      <c r="L116" s="57">
        <v>30000</v>
      </c>
      <c r="M116" s="56">
        <v>4000</v>
      </c>
      <c r="N116" s="56">
        <v>5800</v>
      </c>
      <c r="O116" s="56">
        <v>717</v>
      </c>
      <c r="P116" s="56">
        <v>0</v>
      </c>
      <c r="Q116" s="56"/>
      <c r="R116" s="57"/>
      <c r="S116" s="57"/>
      <c r="T116" s="57">
        <v>84000</v>
      </c>
      <c r="U116" s="57"/>
      <c r="V116" s="56"/>
      <c r="W116" s="52">
        <f t="shared" si="3"/>
        <v>459212</v>
      </c>
    </row>
    <row r="117" spans="1:23" s="58" customFormat="1" ht="15" thickBot="1" x14ac:dyDescent="0.4">
      <c r="A117" s="54" t="s">
        <v>20</v>
      </c>
      <c r="B117" s="55">
        <v>46174</v>
      </c>
      <c r="C117" s="56" t="s">
        <v>39</v>
      </c>
      <c r="D117" s="56" t="s">
        <v>84</v>
      </c>
      <c r="E117" s="56" t="s">
        <v>23</v>
      </c>
      <c r="F117" s="56" t="s">
        <v>51</v>
      </c>
      <c r="G117" s="56">
        <v>8725</v>
      </c>
      <c r="H117" s="56">
        <v>0</v>
      </c>
      <c r="I117" s="56">
        <v>119959</v>
      </c>
      <c r="J117" s="57">
        <v>31675</v>
      </c>
      <c r="K117" s="56">
        <v>59507</v>
      </c>
      <c r="L117" s="57">
        <v>26000</v>
      </c>
      <c r="M117" s="56">
        <v>2800</v>
      </c>
      <c r="N117" s="56">
        <v>3200</v>
      </c>
      <c r="O117" s="56">
        <v>37814</v>
      </c>
      <c r="P117" s="56">
        <v>0</v>
      </c>
      <c r="Q117" s="56">
        <v>2638</v>
      </c>
      <c r="R117" s="57">
        <v>4008</v>
      </c>
      <c r="S117" s="57"/>
      <c r="T117" s="57"/>
      <c r="U117" s="57"/>
      <c r="V117" s="56"/>
      <c r="W117" s="52">
        <f t="shared" si="3"/>
        <v>287601</v>
      </c>
    </row>
    <row r="118" spans="1:23" s="58" customFormat="1" ht="15" thickBot="1" x14ac:dyDescent="0.4">
      <c r="A118" s="54" t="s">
        <v>20</v>
      </c>
      <c r="B118" s="55">
        <v>46174</v>
      </c>
      <c r="C118" s="56" t="s">
        <v>33</v>
      </c>
      <c r="D118" s="56" t="s">
        <v>84</v>
      </c>
      <c r="E118" s="56" t="s">
        <v>23</v>
      </c>
      <c r="F118" s="56" t="s">
        <v>51</v>
      </c>
      <c r="G118" s="56">
        <v>35000</v>
      </c>
      <c r="H118" s="56">
        <v>0</v>
      </c>
      <c r="I118" s="57">
        <v>3931348.5</v>
      </c>
      <c r="J118" s="57">
        <v>474859</v>
      </c>
      <c r="K118" s="56">
        <v>296050</v>
      </c>
      <c r="L118" s="57">
        <v>126310</v>
      </c>
      <c r="M118" s="56">
        <v>36320</v>
      </c>
      <c r="N118" s="56"/>
      <c r="O118" s="56"/>
      <c r="P118" s="56"/>
      <c r="Q118" s="56">
        <v>4000</v>
      </c>
      <c r="R118" s="57"/>
      <c r="S118" s="57"/>
      <c r="T118" s="57"/>
      <c r="U118" s="57"/>
      <c r="V118" s="56"/>
      <c r="W118" s="52">
        <f t="shared" si="3"/>
        <v>4868887.5</v>
      </c>
    </row>
    <row r="119" spans="1:23" s="58" customFormat="1" ht="15" thickBot="1" x14ac:dyDescent="0.4">
      <c r="A119" s="54" t="s">
        <v>20</v>
      </c>
      <c r="B119" s="55">
        <v>46174</v>
      </c>
      <c r="C119" s="56" t="s">
        <v>33</v>
      </c>
      <c r="D119" s="56" t="s">
        <v>59</v>
      </c>
      <c r="E119" s="56" t="s">
        <v>32</v>
      </c>
      <c r="F119" s="56" t="s">
        <v>51</v>
      </c>
      <c r="G119" s="56">
        <v>30094</v>
      </c>
      <c r="H119" s="56">
        <v>0</v>
      </c>
      <c r="I119" s="56">
        <v>3788667</v>
      </c>
      <c r="J119" s="57">
        <v>349469.67</v>
      </c>
      <c r="K119" s="56">
        <v>5600</v>
      </c>
      <c r="L119" s="57"/>
      <c r="M119" s="56"/>
      <c r="N119" s="56"/>
      <c r="O119" s="56"/>
      <c r="P119" s="56"/>
      <c r="Q119" s="56"/>
      <c r="R119" s="59"/>
      <c r="S119" s="56"/>
      <c r="T119" s="56"/>
      <c r="U119" s="56"/>
      <c r="V119" s="56"/>
      <c r="W119" s="52">
        <f t="shared" si="3"/>
        <v>4143736.67</v>
      </c>
    </row>
    <row r="120" spans="1:23" s="65" customFormat="1" ht="15" thickBot="1" x14ac:dyDescent="0.4">
      <c r="A120" s="61" t="s">
        <v>20</v>
      </c>
      <c r="B120" s="62">
        <v>46174</v>
      </c>
      <c r="C120" s="63" t="s">
        <v>33</v>
      </c>
      <c r="D120" s="63" t="s">
        <v>60</v>
      </c>
      <c r="E120" s="63" t="s">
        <v>23</v>
      </c>
      <c r="F120" s="63" t="s">
        <v>51</v>
      </c>
      <c r="G120" s="63">
        <v>62000</v>
      </c>
      <c r="H120" s="63">
        <v>0</v>
      </c>
      <c r="I120" s="63">
        <v>3848152</v>
      </c>
      <c r="J120" s="64">
        <v>683593.2</v>
      </c>
      <c r="K120" s="63">
        <v>10500</v>
      </c>
      <c r="L120" s="64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52">
        <f t="shared" si="3"/>
        <v>4542245.2</v>
      </c>
    </row>
    <row r="121" spans="1:23" s="73" customFormat="1" ht="15" thickBot="1" x14ac:dyDescent="0.4">
      <c r="A121" s="66" t="s">
        <v>20</v>
      </c>
      <c r="B121" s="67">
        <v>46204</v>
      </c>
      <c r="C121" s="68" t="s">
        <v>83</v>
      </c>
      <c r="D121" s="68" t="s">
        <v>82</v>
      </c>
      <c r="E121" s="68" t="s">
        <v>23</v>
      </c>
      <c r="F121" s="68" t="s">
        <v>51</v>
      </c>
      <c r="G121" s="68">
        <v>3000</v>
      </c>
      <c r="H121" s="68">
        <v>0</v>
      </c>
      <c r="I121" s="68">
        <v>70047</v>
      </c>
      <c r="J121" s="118">
        <v>0</v>
      </c>
      <c r="K121" s="118">
        <v>2600</v>
      </c>
      <c r="L121" s="69">
        <v>0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1"/>
      <c r="W121" s="72">
        <f t="shared" si="2"/>
        <v>72647</v>
      </c>
    </row>
    <row r="122" spans="1:23" s="83" customFormat="1" ht="15" thickBot="1" x14ac:dyDescent="0.4">
      <c r="A122" s="74" t="s">
        <v>20</v>
      </c>
      <c r="B122" s="75">
        <v>46204</v>
      </c>
      <c r="C122" s="76" t="s">
        <v>85</v>
      </c>
      <c r="D122" s="76" t="s">
        <v>82</v>
      </c>
      <c r="E122" s="76" t="s">
        <v>23</v>
      </c>
      <c r="F122" s="77" t="s">
        <v>51</v>
      </c>
      <c r="G122" s="77">
        <v>37309</v>
      </c>
      <c r="H122" s="77">
        <v>0</v>
      </c>
      <c r="I122" s="76">
        <v>431518</v>
      </c>
      <c r="J122" s="80">
        <v>67483</v>
      </c>
      <c r="K122" s="95">
        <v>6500</v>
      </c>
      <c r="L122" s="80">
        <v>44980</v>
      </c>
      <c r="M122" s="80"/>
      <c r="N122" s="80">
        <v>6400</v>
      </c>
      <c r="O122" s="80">
        <v>4640</v>
      </c>
      <c r="P122" s="80">
        <v>9870</v>
      </c>
      <c r="Q122" s="80"/>
      <c r="R122" s="81"/>
      <c r="S122" s="81"/>
      <c r="T122" s="81"/>
      <c r="U122" s="81"/>
      <c r="V122" s="82"/>
      <c r="W122" s="72">
        <f t="shared" si="2"/>
        <v>571391</v>
      </c>
    </row>
    <row r="123" spans="1:23" s="83" customFormat="1" ht="15" thickBot="1" x14ac:dyDescent="0.4">
      <c r="A123" s="74" t="s">
        <v>20</v>
      </c>
      <c r="B123" s="75">
        <v>46204</v>
      </c>
      <c r="C123" s="76" t="s">
        <v>29</v>
      </c>
      <c r="D123" s="76" t="s">
        <v>80</v>
      </c>
      <c r="E123" s="76" t="s">
        <v>23</v>
      </c>
      <c r="F123" s="77" t="s">
        <v>51</v>
      </c>
      <c r="G123" s="77">
        <v>30000</v>
      </c>
      <c r="H123" s="77">
        <v>0</v>
      </c>
      <c r="I123" s="76">
        <v>112493</v>
      </c>
      <c r="J123" s="80">
        <v>66160</v>
      </c>
      <c r="K123" s="95">
        <v>0</v>
      </c>
      <c r="L123" s="80">
        <v>9640</v>
      </c>
      <c r="M123" s="80">
        <v>2550</v>
      </c>
      <c r="N123" s="80">
        <v>2100</v>
      </c>
      <c r="O123" s="80">
        <v>1914</v>
      </c>
      <c r="P123" s="80">
        <v>5010</v>
      </c>
      <c r="Q123" s="80">
        <v>1860</v>
      </c>
      <c r="R123" s="80">
        <v>1364</v>
      </c>
      <c r="S123" s="80">
        <v>11000</v>
      </c>
      <c r="T123" s="80">
        <v>5079</v>
      </c>
      <c r="U123" s="80"/>
      <c r="V123" s="84"/>
      <c r="W123" s="72">
        <f t="shared" si="2"/>
        <v>219170</v>
      </c>
    </row>
    <row r="124" spans="1:23" s="83" customFormat="1" ht="15" thickBot="1" x14ac:dyDescent="0.4">
      <c r="A124" s="74" t="s">
        <v>20</v>
      </c>
      <c r="B124" s="75">
        <v>46204</v>
      </c>
      <c r="C124" s="76" t="s">
        <v>53</v>
      </c>
      <c r="D124" s="76" t="s">
        <v>80</v>
      </c>
      <c r="E124" s="76" t="s">
        <v>23</v>
      </c>
      <c r="F124" s="77" t="s">
        <v>51</v>
      </c>
      <c r="G124" s="77">
        <v>22250</v>
      </c>
      <c r="H124" s="77">
        <v>2178</v>
      </c>
      <c r="I124" s="76">
        <v>112493</v>
      </c>
      <c r="J124" s="80">
        <v>33080</v>
      </c>
      <c r="K124" s="95">
        <v>0</v>
      </c>
      <c r="L124" s="80">
        <v>9640</v>
      </c>
      <c r="M124" s="80">
        <v>2748</v>
      </c>
      <c r="N124" s="80">
        <v>2100</v>
      </c>
      <c r="O124" s="80">
        <v>1914</v>
      </c>
      <c r="P124" s="80"/>
      <c r="Q124" s="80"/>
      <c r="R124" s="80">
        <v>1364</v>
      </c>
      <c r="S124" s="80"/>
      <c r="T124" s="80"/>
      <c r="U124" s="80"/>
      <c r="V124" s="84"/>
      <c r="W124" s="72">
        <f t="shared" si="2"/>
        <v>163339</v>
      </c>
    </row>
    <row r="125" spans="1:23" s="83" customFormat="1" ht="15" thickBot="1" x14ac:dyDescent="0.4">
      <c r="A125" s="74" t="s">
        <v>20</v>
      </c>
      <c r="B125" s="75">
        <v>46204</v>
      </c>
      <c r="C125" s="76" t="s">
        <v>54</v>
      </c>
      <c r="D125" s="76" t="s">
        <v>81</v>
      </c>
      <c r="E125" s="76" t="s">
        <v>23</v>
      </c>
      <c r="F125" s="77" t="s">
        <v>51</v>
      </c>
      <c r="G125" s="77">
        <v>177495</v>
      </c>
      <c r="H125" s="77">
        <v>0</v>
      </c>
      <c r="I125" s="76">
        <v>2120262</v>
      </c>
      <c r="J125" s="80">
        <v>261206</v>
      </c>
      <c r="K125" s="95">
        <v>13200</v>
      </c>
      <c r="L125" s="80">
        <v>120227</v>
      </c>
      <c r="M125" s="80">
        <v>48401</v>
      </c>
      <c r="N125" s="80">
        <v>28050</v>
      </c>
      <c r="O125" s="80">
        <v>30779</v>
      </c>
      <c r="P125" s="80"/>
      <c r="Q125" s="80">
        <v>19110</v>
      </c>
      <c r="R125" s="80">
        <v>19557</v>
      </c>
      <c r="S125" s="80"/>
      <c r="T125" s="80">
        <v>8654</v>
      </c>
      <c r="U125" s="80"/>
      <c r="V125" s="84"/>
      <c r="W125" s="72">
        <f t="shared" si="2"/>
        <v>2669446</v>
      </c>
    </row>
    <row r="126" spans="1:23" s="83" customFormat="1" ht="15" thickBot="1" x14ac:dyDescent="0.4">
      <c r="A126" s="74" t="s">
        <v>20</v>
      </c>
      <c r="B126" s="75">
        <v>46204</v>
      </c>
      <c r="C126" s="76" t="s">
        <v>56</v>
      </c>
      <c r="D126" s="76" t="s">
        <v>81</v>
      </c>
      <c r="E126" s="76" t="s">
        <v>23</v>
      </c>
      <c r="F126" s="77" t="s">
        <v>51</v>
      </c>
      <c r="G126" s="77">
        <v>12500</v>
      </c>
      <c r="H126" s="77">
        <v>0</v>
      </c>
      <c r="I126" s="76">
        <v>1061154</v>
      </c>
      <c r="J126" s="80">
        <v>65301</v>
      </c>
      <c r="K126" s="95">
        <v>1950</v>
      </c>
      <c r="L126" s="80">
        <v>40696</v>
      </c>
      <c r="M126" s="80">
        <v>26201</v>
      </c>
      <c r="N126" s="80"/>
      <c r="O126" s="80"/>
      <c r="P126" s="80"/>
      <c r="Q126" s="80"/>
      <c r="R126" s="80"/>
      <c r="S126" s="80"/>
      <c r="T126" s="80"/>
      <c r="U126" s="80"/>
      <c r="V126" s="84"/>
      <c r="W126" s="72">
        <f t="shared" si="2"/>
        <v>1195302</v>
      </c>
    </row>
    <row r="127" spans="1:23" s="83" customFormat="1" ht="15" thickBot="1" x14ac:dyDescent="0.4">
      <c r="A127" s="74" t="s">
        <v>20</v>
      </c>
      <c r="B127" s="75">
        <v>46204</v>
      </c>
      <c r="C127" s="76" t="s">
        <v>103</v>
      </c>
      <c r="D127" s="76" t="s">
        <v>81</v>
      </c>
      <c r="E127" s="76" t="s">
        <v>23</v>
      </c>
      <c r="F127" s="77" t="s">
        <v>51</v>
      </c>
      <c r="G127" s="77">
        <v>1000</v>
      </c>
      <c r="H127" s="77">
        <v>0</v>
      </c>
      <c r="I127" s="76"/>
      <c r="J127" s="80"/>
      <c r="K127" s="95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4"/>
      <c r="W127" s="72">
        <f>SUM(I127:U127)</f>
        <v>0</v>
      </c>
    </row>
    <row r="128" spans="1:23" s="83" customFormat="1" ht="15" thickBot="1" x14ac:dyDescent="0.4">
      <c r="A128" s="74" t="s">
        <v>20</v>
      </c>
      <c r="B128" s="75">
        <v>46204</v>
      </c>
      <c r="C128" s="76" t="s">
        <v>39</v>
      </c>
      <c r="D128" s="76" t="s">
        <v>81</v>
      </c>
      <c r="E128" s="76" t="s">
        <v>23</v>
      </c>
      <c r="F128" s="77" t="s">
        <v>51</v>
      </c>
      <c r="G128" s="77">
        <v>8725</v>
      </c>
      <c r="H128" s="77">
        <v>9500</v>
      </c>
      <c r="I128" s="76">
        <v>212926</v>
      </c>
      <c r="J128" s="80">
        <v>31675</v>
      </c>
      <c r="K128" s="95">
        <v>0</v>
      </c>
      <c r="L128" s="80">
        <v>20198</v>
      </c>
      <c r="M128" s="80">
        <v>2450</v>
      </c>
      <c r="N128" s="80">
        <v>3200</v>
      </c>
      <c r="O128" s="80">
        <v>19896</v>
      </c>
      <c r="P128" s="80"/>
      <c r="Q128" s="80"/>
      <c r="R128" s="80">
        <v>3109</v>
      </c>
      <c r="S128" s="80"/>
      <c r="T128" s="80"/>
      <c r="U128" s="80"/>
      <c r="V128" s="84"/>
      <c r="W128" s="72">
        <f>SUM(I128:U128)</f>
        <v>293454</v>
      </c>
    </row>
    <row r="129" spans="1:23" s="83" customFormat="1" ht="15" thickBot="1" x14ac:dyDescent="0.4">
      <c r="A129" s="74" t="s">
        <v>20</v>
      </c>
      <c r="B129" s="75">
        <v>46204</v>
      </c>
      <c r="C129" s="76" t="s">
        <v>57</v>
      </c>
      <c r="D129" s="76" t="s">
        <v>84</v>
      </c>
      <c r="E129" s="76" t="s">
        <v>23</v>
      </c>
      <c r="F129" s="77" t="s">
        <v>51</v>
      </c>
      <c r="G129" s="77">
        <v>18525</v>
      </c>
      <c r="H129" s="77">
        <v>0</v>
      </c>
      <c r="I129" s="76">
        <v>25904</v>
      </c>
      <c r="J129" s="80">
        <v>32650</v>
      </c>
      <c r="K129" s="95">
        <v>240471</v>
      </c>
      <c r="L129" s="80">
        <v>21323</v>
      </c>
      <c r="M129" s="80">
        <v>4000</v>
      </c>
      <c r="N129" s="80">
        <v>5800</v>
      </c>
      <c r="O129" s="80">
        <v>2420</v>
      </c>
      <c r="P129" s="80"/>
      <c r="Q129" s="80"/>
      <c r="R129" s="80"/>
      <c r="S129" s="80"/>
      <c r="T129" s="80"/>
      <c r="U129" s="80">
        <v>84000</v>
      </c>
      <c r="V129" s="84" t="s">
        <v>90</v>
      </c>
      <c r="W129" s="72">
        <f t="shared" si="2"/>
        <v>416568</v>
      </c>
    </row>
    <row r="130" spans="1:23" s="83" customFormat="1" ht="15" thickBot="1" x14ac:dyDescent="0.4">
      <c r="A130" s="74" t="s">
        <v>20</v>
      </c>
      <c r="B130" s="75">
        <v>46204</v>
      </c>
      <c r="C130" s="76" t="s">
        <v>33</v>
      </c>
      <c r="D130" s="76" t="s">
        <v>84</v>
      </c>
      <c r="E130" s="76" t="s">
        <v>23</v>
      </c>
      <c r="F130" s="77" t="s">
        <v>51</v>
      </c>
      <c r="G130" s="77">
        <v>40000</v>
      </c>
      <c r="H130" s="77">
        <v>0</v>
      </c>
      <c r="I130" s="76">
        <v>4243624</v>
      </c>
      <c r="J130" s="80">
        <v>466505</v>
      </c>
      <c r="K130" s="95">
        <v>44710</v>
      </c>
      <c r="L130" s="80">
        <v>141550</v>
      </c>
      <c r="M130" s="80">
        <v>40320</v>
      </c>
      <c r="N130" s="80">
        <v>62180</v>
      </c>
      <c r="O130" s="80">
        <v>32696</v>
      </c>
      <c r="P130" s="80"/>
      <c r="Q130" s="80">
        <v>13500</v>
      </c>
      <c r="R130" s="80">
        <v>14145</v>
      </c>
      <c r="S130" s="80"/>
      <c r="T130" s="80">
        <v>6392</v>
      </c>
      <c r="U130" s="80"/>
      <c r="V130" s="84"/>
      <c r="W130" s="72">
        <f t="shared" ref="W130:W164" si="4">SUM(I130:U130)</f>
        <v>5065622</v>
      </c>
    </row>
    <row r="131" spans="1:23" s="83" customFormat="1" ht="15" thickBot="1" x14ac:dyDescent="0.4">
      <c r="A131" s="74" t="s">
        <v>20</v>
      </c>
      <c r="B131" s="75">
        <v>46204</v>
      </c>
      <c r="C131" s="76" t="s">
        <v>33</v>
      </c>
      <c r="D131" s="76" t="s">
        <v>59</v>
      </c>
      <c r="E131" s="76" t="s">
        <v>32</v>
      </c>
      <c r="F131" s="77" t="s">
        <v>51</v>
      </c>
      <c r="G131" s="77">
        <v>30094</v>
      </c>
      <c r="H131" s="77">
        <v>0</v>
      </c>
      <c r="I131" s="76">
        <v>3293298</v>
      </c>
      <c r="J131" s="80">
        <v>365607</v>
      </c>
      <c r="K131" s="95">
        <v>33810</v>
      </c>
      <c r="L131" s="80">
        <v>60317</v>
      </c>
      <c r="M131" s="80"/>
      <c r="N131" s="80"/>
      <c r="O131" s="80"/>
      <c r="P131" s="80"/>
      <c r="Q131" s="80"/>
      <c r="R131" s="81"/>
      <c r="S131" s="81"/>
      <c r="T131" s="81"/>
      <c r="U131" s="81"/>
      <c r="V131" s="82"/>
      <c r="W131" s="72">
        <f t="shared" si="4"/>
        <v>3753032</v>
      </c>
    </row>
    <row r="132" spans="1:23" s="83" customFormat="1" ht="15" thickBot="1" x14ac:dyDescent="0.4">
      <c r="A132" s="74" t="s">
        <v>20</v>
      </c>
      <c r="B132" s="75">
        <v>46204</v>
      </c>
      <c r="C132" s="76" t="s">
        <v>33</v>
      </c>
      <c r="D132" s="76" t="s">
        <v>60</v>
      </c>
      <c r="E132" s="76" t="s">
        <v>23</v>
      </c>
      <c r="F132" s="76" t="s">
        <v>51</v>
      </c>
      <c r="G132" s="76">
        <v>62000</v>
      </c>
      <c r="H132" s="77">
        <v>0</v>
      </c>
      <c r="I132" s="76">
        <v>4055742</v>
      </c>
      <c r="J132" s="80">
        <v>683565</v>
      </c>
      <c r="K132" s="80">
        <v>112000</v>
      </c>
      <c r="L132" s="80"/>
      <c r="M132" s="79"/>
      <c r="N132" s="85"/>
      <c r="O132" s="85"/>
      <c r="P132" s="85"/>
      <c r="Q132" s="85"/>
      <c r="R132" s="85"/>
      <c r="S132" s="85"/>
      <c r="T132" s="85"/>
      <c r="U132" s="85"/>
      <c r="V132" s="86"/>
      <c r="W132" s="72">
        <f t="shared" si="4"/>
        <v>4851307</v>
      </c>
    </row>
    <row r="133" spans="1:23" s="83" customFormat="1" ht="15" thickBot="1" x14ac:dyDescent="0.4">
      <c r="A133" s="74" t="s">
        <v>20</v>
      </c>
      <c r="B133" s="75">
        <v>46204</v>
      </c>
      <c r="C133" s="76" t="s">
        <v>61</v>
      </c>
      <c r="D133" s="76" t="s">
        <v>62</v>
      </c>
      <c r="E133" s="76" t="s">
        <v>32</v>
      </c>
      <c r="F133" s="76" t="s">
        <v>63</v>
      </c>
      <c r="G133" s="76">
        <v>1306800</v>
      </c>
      <c r="H133" s="77">
        <v>0</v>
      </c>
      <c r="I133" s="80">
        <v>71241</v>
      </c>
      <c r="J133" s="80">
        <v>110437</v>
      </c>
      <c r="K133" s="80">
        <v>0</v>
      </c>
      <c r="L133" s="87">
        <v>14961</v>
      </c>
      <c r="M133" s="88"/>
      <c r="N133" s="88"/>
      <c r="O133" s="87">
        <v>16638</v>
      </c>
      <c r="P133" s="88"/>
      <c r="Q133" s="88"/>
      <c r="R133" s="88"/>
      <c r="S133" s="88"/>
      <c r="T133" s="88"/>
      <c r="U133" s="87">
        <v>4955</v>
      </c>
      <c r="V133" s="89"/>
      <c r="W133" s="72">
        <f t="shared" si="4"/>
        <v>218232</v>
      </c>
    </row>
    <row r="134" spans="1:23" s="83" customFormat="1" ht="15" thickBot="1" x14ac:dyDescent="0.4">
      <c r="A134" s="74" t="s">
        <v>20</v>
      </c>
      <c r="B134" s="75">
        <v>46204</v>
      </c>
      <c r="C134" s="76" t="s">
        <v>65</v>
      </c>
      <c r="D134" s="76" t="s">
        <v>66</v>
      </c>
      <c r="E134" s="76" t="s">
        <v>23</v>
      </c>
      <c r="F134" s="76" t="s">
        <v>63</v>
      </c>
      <c r="G134" s="76">
        <v>39100</v>
      </c>
      <c r="H134" s="76">
        <v>800</v>
      </c>
      <c r="I134" s="80">
        <v>246943</v>
      </c>
      <c r="J134" s="80">
        <v>15855</v>
      </c>
      <c r="K134" s="80">
        <v>0</v>
      </c>
      <c r="L134" s="80"/>
      <c r="M134" s="88"/>
      <c r="N134" s="88"/>
      <c r="O134" s="88"/>
      <c r="P134" s="88"/>
      <c r="Q134" s="88"/>
      <c r="R134" s="88"/>
      <c r="S134" s="88"/>
      <c r="T134" s="88"/>
      <c r="U134" s="88"/>
      <c r="V134" s="89"/>
      <c r="W134" s="72">
        <f t="shared" si="4"/>
        <v>262798</v>
      </c>
    </row>
    <row r="135" spans="1:23" s="83" customFormat="1" ht="15" thickBot="1" x14ac:dyDescent="0.4">
      <c r="A135" s="74" t="s">
        <v>20</v>
      </c>
      <c r="B135" s="75">
        <v>46204</v>
      </c>
      <c r="C135" s="76" t="s">
        <v>67</v>
      </c>
      <c r="D135" s="76" t="s">
        <v>66</v>
      </c>
      <c r="E135" s="76" t="s">
        <v>23</v>
      </c>
      <c r="F135" s="76" t="s">
        <v>63</v>
      </c>
      <c r="G135" s="76">
        <v>3200</v>
      </c>
      <c r="H135" s="77">
        <v>0</v>
      </c>
      <c r="I135" s="80">
        <v>0</v>
      </c>
      <c r="J135" s="80">
        <v>15855</v>
      </c>
      <c r="K135" s="80">
        <v>0</v>
      </c>
      <c r="L135" s="80"/>
      <c r="M135" s="88"/>
      <c r="N135" s="88"/>
      <c r="O135" s="88"/>
      <c r="P135" s="88"/>
      <c r="Q135" s="88"/>
      <c r="R135" s="88"/>
      <c r="S135" s="88"/>
      <c r="T135" s="88"/>
      <c r="U135" s="88"/>
      <c r="V135" s="89"/>
      <c r="W135" s="72">
        <f t="shared" si="4"/>
        <v>15855</v>
      </c>
    </row>
    <row r="136" spans="1:23" s="83" customFormat="1" ht="15" thickBot="1" x14ac:dyDescent="0.4">
      <c r="A136" s="74" t="s">
        <v>20</v>
      </c>
      <c r="B136" s="75">
        <v>46204</v>
      </c>
      <c r="C136" s="76" t="s">
        <v>83</v>
      </c>
      <c r="D136" s="76" t="s">
        <v>66</v>
      </c>
      <c r="E136" s="76" t="s">
        <v>23</v>
      </c>
      <c r="F136" s="76" t="s">
        <v>63</v>
      </c>
      <c r="G136" s="76">
        <v>5000</v>
      </c>
      <c r="H136" s="76">
        <v>2000</v>
      </c>
      <c r="I136" s="80">
        <v>230805</v>
      </c>
      <c r="J136" s="80">
        <v>47564</v>
      </c>
      <c r="K136" s="80">
        <v>0</v>
      </c>
      <c r="L136" s="80"/>
      <c r="M136" s="88"/>
      <c r="N136" s="88"/>
      <c r="O136" s="88"/>
      <c r="P136" s="88"/>
      <c r="Q136" s="88"/>
      <c r="R136" s="88"/>
      <c r="S136" s="88"/>
      <c r="T136" s="88"/>
      <c r="U136" s="88"/>
      <c r="V136" s="89"/>
      <c r="W136" s="72">
        <f t="shared" si="4"/>
        <v>278369</v>
      </c>
    </row>
    <row r="137" spans="1:23" s="83" customFormat="1" ht="15" thickBot="1" x14ac:dyDescent="0.4">
      <c r="A137" s="74" t="s">
        <v>20</v>
      </c>
      <c r="B137" s="75">
        <v>46204</v>
      </c>
      <c r="C137" s="76" t="s">
        <v>39</v>
      </c>
      <c r="D137" s="76" t="s">
        <v>66</v>
      </c>
      <c r="E137" s="76" t="s">
        <v>23</v>
      </c>
      <c r="F137" s="76" t="s">
        <v>63</v>
      </c>
      <c r="G137" s="76">
        <v>6000</v>
      </c>
      <c r="H137" s="76">
        <v>6000</v>
      </c>
      <c r="I137" s="80">
        <v>118317</v>
      </c>
      <c r="J137" s="80">
        <v>15855</v>
      </c>
      <c r="K137" s="80">
        <v>0</v>
      </c>
      <c r="L137" s="80"/>
      <c r="M137" s="88"/>
      <c r="N137" s="88"/>
      <c r="O137" s="88"/>
      <c r="P137" s="88"/>
      <c r="Q137" s="88"/>
      <c r="R137" s="88"/>
      <c r="S137" s="87"/>
      <c r="T137" s="88"/>
      <c r="U137" s="88"/>
      <c r="V137" s="89"/>
      <c r="W137" s="72">
        <f t="shared" si="4"/>
        <v>134172</v>
      </c>
    </row>
    <row r="138" spans="1:23" s="83" customFormat="1" ht="15" thickBot="1" x14ac:dyDescent="0.4">
      <c r="A138" s="74" t="s">
        <v>20</v>
      </c>
      <c r="B138" s="75">
        <v>46204</v>
      </c>
      <c r="C138" s="76" t="s">
        <v>68</v>
      </c>
      <c r="D138" s="76" t="s">
        <v>69</v>
      </c>
      <c r="E138" s="76" t="s">
        <v>32</v>
      </c>
      <c r="F138" s="76" t="s">
        <v>63</v>
      </c>
      <c r="G138" s="76">
        <v>108561</v>
      </c>
      <c r="H138" s="77">
        <v>0</v>
      </c>
      <c r="I138" s="80">
        <v>3157816</v>
      </c>
      <c r="J138" s="80">
        <v>454990.92</v>
      </c>
      <c r="K138" s="80">
        <v>0</v>
      </c>
      <c r="L138" s="87"/>
      <c r="M138" s="81">
        <v>0</v>
      </c>
      <c r="N138" s="87"/>
      <c r="O138" s="87"/>
      <c r="P138" s="88"/>
      <c r="Q138" s="87"/>
      <c r="R138" s="88"/>
      <c r="S138" s="88"/>
      <c r="T138" s="87"/>
      <c r="U138" s="87"/>
      <c r="V138" s="89"/>
      <c r="W138" s="72">
        <f t="shared" si="4"/>
        <v>3612806.92</v>
      </c>
    </row>
    <row r="139" spans="1:23" s="83" customFormat="1" ht="15" thickBot="1" x14ac:dyDescent="0.4">
      <c r="A139" s="74" t="s">
        <v>20</v>
      </c>
      <c r="B139" s="75">
        <v>46204</v>
      </c>
      <c r="C139" s="76" t="s">
        <v>70</v>
      </c>
      <c r="D139" s="76" t="s">
        <v>71</v>
      </c>
      <c r="E139" s="76" t="s">
        <v>32</v>
      </c>
      <c r="F139" s="76" t="s">
        <v>63</v>
      </c>
      <c r="G139" s="76">
        <v>30000</v>
      </c>
      <c r="H139" s="77">
        <v>0</v>
      </c>
      <c r="I139" s="80">
        <v>1029466</v>
      </c>
      <c r="J139" s="80">
        <v>0</v>
      </c>
      <c r="K139" s="80">
        <v>0</v>
      </c>
      <c r="L139" s="88">
        <v>0</v>
      </c>
      <c r="M139" s="88"/>
      <c r="N139" s="88"/>
      <c r="O139" s="88"/>
      <c r="P139" s="88"/>
      <c r="Q139" s="88"/>
      <c r="R139" s="88"/>
      <c r="S139" s="88"/>
      <c r="T139" s="88"/>
      <c r="U139" s="87">
        <v>90122</v>
      </c>
      <c r="V139" s="89"/>
      <c r="W139" s="72">
        <f t="shared" si="4"/>
        <v>1119588</v>
      </c>
    </row>
    <row r="140" spans="1:23" s="83" customFormat="1" ht="15" thickBot="1" x14ac:dyDescent="0.4">
      <c r="A140" s="74" t="s">
        <v>20</v>
      </c>
      <c r="B140" s="75">
        <v>46204</v>
      </c>
      <c r="C140" s="76" t="s">
        <v>85</v>
      </c>
      <c r="D140" s="76" t="s">
        <v>72</v>
      </c>
      <c r="E140" s="76" t="s">
        <v>32</v>
      </c>
      <c r="F140" s="76" t="s">
        <v>63</v>
      </c>
      <c r="G140" s="76">
        <v>21000</v>
      </c>
      <c r="H140" s="77">
        <v>0</v>
      </c>
      <c r="I140" s="76">
        <v>188587</v>
      </c>
      <c r="J140" s="80">
        <v>30716</v>
      </c>
      <c r="K140" s="80">
        <v>0</v>
      </c>
      <c r="L140" s="87"/>
      <c r="M140" s="87"/>
      <c r="N140" s="87"/>
      <c r="O140" s="87"/>
      <c r="P140" s="87"/>
      <c r="Q140" s="88"/>
      <c r="R140" s="88"/>
      <c r="S140" s="87"/>
      <c r="T140" s="88"/>
      <c r="U140" s="88"/>
      <c r="V140" s="89"/>
      <c r="W140" s="72">
        <f t="shared" si="4"/>
        <v>219303</v>
      </c>
    </row>
    <row r="141" spans="1:23" s="83" customFormat="1" ht="15" thickBot="1" x14ac:dyDescent="0.4">
      <c r="A141" s="74"/>
      <c r="B141" s="75">
        <v>46204</v>
      </c>
      <c r="C141" s="76" t="s">
        <v>125</v>
      </c>
      <c r="D141" s="76" t="s">
        <v>120</v>
      </c>
      <c r="E141" s="76" t="s">
        <v>32</v>
      </c>
      <c r="F141" s="76" t="s">
        <v>24</v>
      </c>
      <c r="G141" s="76"/>
      <c r="H141" s="77"/>
      <c r="I141" s="76">
        <v>11738615</v>
      </c>
      <c r="J141" s="91">
        <v>733216.89</v>
      </c>
      <c r="K141" s="91">
        <v>571900</v>
      </c>
      <c r="L141" s="214">
        <v>270712</v>
      </c>
      <c r="M141" s="211"/>
      <c r="N141" s="211"/>
      <c r="O141" s="211"/>
      <c r="P141" s="211"/>
      <c r="Q141" s="212"/>
      <c r="R141" s="212"/>
      <c r="S141" s="211"/>
      <c r="T141" s="212"/>
      <c r="U141" s="212"/>
      <c r="V141" s="213"/>
      <c r="W141" s="72"/>
    </row>
    <row r="142" spans="1:23" s="83" customFormat="1" ht="15" thickBot="1" x14ac:dyDescent="0.4">
      <c r="A142" s="74"/>
      <c r="B142" s="75">
        <v>46204</v>
      </c>
      <c r="C142" s="76" t="s">
        <v>126</v>
      </c>
      <c r="D142" s="76" t="s">
        <v>121</v>
      </c>
      <c r="E142" s="76" t="s">
        <v>32</v>
      </c>
      <c r="F142" s="76" t="s">
        <v>24</v>
      </c>
      <c r="G142" s="76"/>
      <c r="H142" s="77"/>
      <c r="I142" s="76">
        <v>3743768</v>
      </c>
      <c r="J142" s="91">
        <v>316841</v>
      </c>
      <c r="K142" s="91">
        <v>0</v>
      </c>
      <c r="L142" s="211"/>
      <c r="M142" s="211"/>
      <c r="N142" s="211"/>
      <c r="O142" s="211"/>
      <c r="P142" s="211"/>
      <c r="Q142" s="212"/>
      <c r="R142" s="212"/>
      <c r="S142" s="211"/>
      <c r="T142" s="212"/>
      <c r="U142" s="212"/>
      <c r="V142" s="213"/>
      <c r="W142" s="72"/>
    </row>
    <row r="143" spans="1:23" s="83" customFormat="1" ht="15" thickBot="1" x14ac:dyDescent="0.4">
      <c r="A143" s="74" t="s">
        <v>20</v>
      </c>
      <c r="B143" s="75">
        <v>46204</v>
      </c>
      <c r="C143" s="76" t="s">
        <v>123</v>
      </c>
      <c r="D143" s="76" t="s">
        <v>122</v>
      </c>
      <c r="E143" s="76" t="s">
        <v>32</v>
      </c>
      <c r="F143" s="76" t="s">
        <v>24</v>
      </c>
      <c r="G143" s="76">
        <v>184730</v>
      </c>
      <c r="H143" s="77">
        <v>0</v>
      </c>
      <c r="I143" s="76">
        <v>618606</v>
      </c>
      <c r="J143" s="91">
        <v>274754.74</v>
      </c>
      <c r="K143" s="107">
        <v>0</v>
      </c>
      <c r="L143" s="91"/>
      <c r="M143" s="90"/>
      <c r="N143" s="90"/>
      <c r="O143" s="90"/>
      <c r="P143" s="90"/>
      <c r="Q143" s="90"/>
      <c r="R143" s="90"/>
      <c r="S143" s="90"/>
      <c r="T143" s="90"/>
      <c r="U143" s="90"/>
      <c r="V143" s="92"/>
      <c r="W143" s="72">
        <f t="shared" si="4"/>
        <v>893360.74</v>
      </c>
    </row>
    <row r="144" spans="1:23" s="83" customFormat="1" ht="15" thickBot="1" x14ac:dyDescent="0.4">
      <c r="A144" s="74" t="s">
        <v>20</v>
      </c>
      <c r="B144" s="75">
        <v>46204</v>
      </c>
      <c r="C144" s="76" t="s">
        <v>33</v>
      </c>
      <c r="D144" s="76" t="s">
        <v>43</v>
      </c>
      <c r="E144" s="76" t="s">
        <v>32</v>
      </c>
      <c r="F144" s="76" t="s">
        <v>24</v>
      </c>
      <c r="G144" s="76">
        <v>43015</v>
      </c>
      <c r="H144" s="77">
        <v>0</v>
      </c>
      <c r="I144" s="76">
        <v>3543727</v>
      </c>
      <c r="J144" s="76">
        <v>294495</v>
      </c>
      <c r="K144" s="76">
        <v>40500</v>
      </c>
      <c r="L144" s="80">
        <v>99578</v>
      </c>
      <c r="M144" s="78"/>
      <c r="N144" s="78"/>
      <c r="O144" s="78"/>
      <c r="P144" s="78"/>
      <c r="Q144" s="78"/>
      <c r="R144" s="78"/>
      <c r="S144" s="78"/>
      <c r="T144" s="78"/>
      <c r="U144" s="78"/>
      <c r="V144" s="93"/>
      <c r="W144" s="72">
        <f t="shared" si="4"/>
        <v>3978300</v>
      </c>
    </row>
    <row r="145" spans="1:23" s="83" customFormat="1" ht="15" thickBot="1" x14ac:dyDescent="0.4">
      <c r="A145" s="74" t="s">
        <v>20</v>
      </c>
      <c r="B145" s="75">
        <v>46204</v>
      </c>
      <c r="C145" s="76" t="s">
        <v>44</v>
      </c>
      <c r="D145" s="76" t="s">
        <v>45</v>
      </c>
      <c r="E145" s="76" t="s">
        <v>32</v>
      </c>
      <c r="F145" s="76" t="s">
        <v>24</v>
      </c>
      <c r="G145" s="76">
        <v>25000</v>
      </c>
      <c r="H145" s="77">
        <v>0</v>
      </c>
      <c r="I145" s="76">
        <v>119033</v>
      </c>
      <c r="J145" s="76">
        <v>56967</v>
      </c>
      <c r="K145" s="76">
        <v>0</v>
      </c>
      <c r="L145" s="76">
        <v>0</v>
      </c>
      <c r="M145" s="108">
        <v>0</v>
      </c>
      <c r="N145" s="108">
        <v>0</v>
      </c>
      <c r="O145" s="108">
        <v>0</v>
      </c>
      <c r="P145" s="108">
        <v>0</v>
      </c>
      <c r="Q145" s="108">
        <v>0</v>
      </c>
      <c r="R145" s="108">
        <v>0</v>
      </c>
      <c r="S145" s="108">
        <v>0</v>
      </c>
      <c r="T145" s="108">
        <v>0</v>
      </c>
      <c r="U145" s="108">
        <v>0</v>
      </c>
      <c r="V145" s="94"/>
      <c r="W145" s="72">
        <f t="shared" si="4"/>
        <v>176000</v>
      </c>
    </row>
    <row r="146" spans="1:23" s="83" customFormat="1" ht="15" thickBot="1" x14ac:dyDescent="0.4">
      <c r="A146" s="74" t="s">
        <v>20</v>
      </c>
      <c r="B146" s="75">
        <v>46204</v>
      </c>
      <c r="C146" s="76" t="s">
        <v>21</v>
      </c>
      <c r="D146" s="76" t="s">
        <v>22</v>
      </c>
      <c r="E146" s="76" t="s">
        <v>23</v>
      </c>
      <c r="F146" s="77" t="s">
        <v>42</v>
      </c>
      <c r="G146" s="77">
        <v>11702</v>
      </c>
      <c r="H146" s="77">
        <v>0</v>
      </c>
      <c r="I146" s="77">
        <v>112293</v>
      </c>
      <c r="J146" s="77">
        <v>95581</v>
      </c>
      <c r="K146" s="77">
        <v>0</v>
      </c>
      <c r="L146" s="77">
        <v>39096</v>
      </c>
      <c r="M146" s="77">
        <v>5459</v>
      </c>
      <c r="N146" s="77">
        <v>1720</v>
      </c>
      <c r="O146" s="77">
        <v>0</v>
      </c>
      <c r="P146" s="77">
        <v>0</v>
      </c>
      <c r="Q146" s="77">
        <v>8000</v>
      </c>
      <c r="R146" s="77">
        <v>0</v>
      </c>
      <c r="S146" s="77">
        <v>3125</v>
      </c>
      <c r="T146" s="77">
        <v>1770</v>
      </c>
      <c r="U146" s="77">
        <v>0</v>
      </c>
      <c r="V146" s="77"/>
      <c r="W146" s="52">
        <f t="shared" si="4"/>
        <v>267044</v>
      </c>
    </row>
    <row r="147" spans="1:23" s="83" customFormat="1" ht="15" thickBot="1" x14ac:dyDescent="0.4">
      <c r="A147" s="74" t="s">
        <v>20</v>
      </c>
      <c r="B147" s="75">
        <v>46204</v>
      </c>
      <c r="C147" s="76" t="s">
        <v>26</v>
      </c>
      <c r="D147" s="76" t="s">
        <v>22</v>
      </c>
      <c r="E147" s="76" t="s">
        <v>23</v>
      </c>
      <c r="F147" s="77" t="s">
        <v>42</v>
      </c>
      <c r="G147" s="77">
        <v>15000</v>
      </c>
      <c r="H147" s="77">
        <v>4000</v>
      </c>
      <c r="I147" s="77">
        <v>569401</v>
      </c>
      <c r="J147" s="95">
        <v>59732.5</v>
      </c>
      <c r="K147" s="77">
        <v>0</v>
      </c>
      <c r="L147" s="77">
        <v>20000</v>
      </c>
      <c r="M147" s="77">
        <v>16700</v>
      </c>
      <c r="N147" s="77">
        <v>4680</v>
      </c>
      <c r="O147" s="77">
        <v>60937</v>
      </c>
      <c r="P147" s="77">
        <v>2800</v>
      </c>
      <c r="Q147" s="77">
        <v>6667</v>
      </c>
      <c r="R147" s="77">
        <v>10998</v>
      </c>
      <c r="S147" s="77">
        <v>3125</v>
      </c>
      <c r="T147" s="77">
        <v>1770</v>
      </c>
      <c r="U147" s="77">
        <v>8200</v>
      </c>
      <c r="V147" s="77" t="s">
        <v>92</v>
      </c>
      <c r="W147" s="52">
        <f t="shared" si="4"/>
        <v>765010.5</v>
      </c>
    </row>
    <row r="148" spans="1:23" s="83" customFormat="1" ht="15" thickBot="1" x14ac:dyDescent="0.4">
      <c r="A148" s="74" t="s">
        <v>20</v>
      </c>
      <c r="B148" s="75">
        <v>46204</v>
      </c>
      <c r="C148" s="76" t="s">
        <v>28</v>
      </c>
      <c r="D148" s="76" t="s">
        <v>22</v>
      </c>
      <c r="E148" s="76" t="s">
        <v>23</v>
      </c>
      <c r="F148" s="77" t="s">
        <v>42</v>
      </c>
      <c r="G148" s="77">
        <v>11014</v>
      </c>
      <c r="H148" s="77">
        <v>0</v>
      </c>
      <c r="I148" s="77">
        <v>90908</v>
      </c>
      <c r="J148" s="77">
        <v>0</v>
      </c>
      <c r="K148" s="77">
        <v>0</v>
      </c>
      <c r="L148" s="77">
        <v>11000</v>
      </c>
      <c r="M148" s="77">
        <v>2112</v>
      </c>
      <c r="N148" s="77">
        <v>1200</v>
      </c>
      <c r="O148" s="77">
        <v>6142</v>
      </c>
      <c r="P148" s="77">
        <v>0</v>
      </c>
      <c r="Q148" s="77">
        <v>6667</v>
      </c>
      <c r="R148" s="77">
        <v>0</v>
      </c>
      <c r="S148" s="77">
        <v>3125</v>
      </c>
      <c r="T148" s="77">
        <v>1770</v>
      </c>
      <c r="U148" s="77">
        <v>0</v>
      </c>
      <c r="V148" s="77"/>
      <c r="W148" s="52">
        <f t="shared" si="4"/>
        <v>122924</v>
      </c>
    </row>
    <row r="149" spans="1:23" s="83" customFormat="1" x14ac:dyDescent="0.35">
      <c r="A149" s="74" t="s">
        <v>20</v>
      </c>
      <c r="B149" s="75">
        <v>46204</v>
      </c>
      <c r="C149" s="76" t="s">
        <v>29</v>
      </c>
      <c r="D149" s="76" t="s">
        <v>22</v>
      </c>
      <c r="E149" s="76" t="s">
        <v>23</v>
      </c>
      <c r="F149" s="77" t="s">
        <v>42</v>
      </c>
      <c r="G149" s="77">
        <v>14565</v>
      </c>
      <c r="H149" s="77">
        <v>0</v>
      </c>
      <c r="I149" s="77">
        <v>46839</v>
      </c>
      <c r="J149" s="95">
        <v>59732.5</v>
      </c>
      <c r="K149" s="77">
        <v>0</v>
      </c>
      <c r="L149" s="77"/>
      <c r="M149" s="77">
        <v>4315</v>
      </c>
      <c r="N149" s="77">
        <v>4520</v>
      </c>
      <c r="O149" s="77">
        <v>0</v>
      </c>
      <c r="P149" s="77">
        <v>0</v>
      </c>
      <c r="Q149" s="77">
        <v>6667</v>
      </c>
      <c r="R149" s="77">
        <v>4000</v>
      </c>
      <c r="S149" s="77">
        <v>3125</v>
      </c>
      <c r="T149" s="77">
        <v>1770</v>
      </c>
      <c r="U149" s="77">
        <v>0</v>
      </c>
      <c r="V149" s="77"/>
      <c r="W149" s="52">
        <f t="shared" si="4"/>
        <v>130968.5</v>
      </c>
    </row>
    <row r="150" spans="1:23" s="83" customFormat="1" ht="15" thickBot="1" x14ac:dyDescent="0.4">
      <c r="A150" s="74" t="s">
        <v>20</v>
      </c>
      <c r="B150" s="75">
        <v>46204</v>
      </c>
      <c r="C150" s="76" t="s">
        <v>33</v>
      </c>
      <c r="D150" s="76" t="s">
        <v>34</v>
      </c>
      <c r="E150" s="76" t="s">
        <v>32</v>
      </c>
      <c r="F150" s="77" t="s">
        <v>42</v>
      </c>
      <c r="G150" s="77">
        <v>40000</v>
      </c>
      <c r="H150" s="77">
        <v>0</v>
      </c>
      <c r="I150" s="95">
        <v>4089332</v>
      </c>
      <c r="J150" s="77">
        <v>443835</v>
      </c>
      <c r="K150" s="77">
        <v>0</v>
      </c>
      <c r="L150" s="77">
        <v>120000</v>
      </c>
      <c r="M150" s="77">
        <v>33433</v>
      </c>
      <c r="N150" s="77">
        <v>18510</v>
      </c>
      <c r="O150" s="77">
        <v>22652</v>
      </c>
      <c r="P150" s="77">
        <v>5000</v>
      </c>
      <c r="Q150" s="77">
        <v>15000</v>
      </c>
      <c r="R150" s="77">
        <v>0</v>
      </c>
      <c r="S150" s="77">
        <v>15000</v>
      </c>
      <c r="T150" s="77">
        <v>4200</v>
      </c>
      <c r="U150" s="77">
        <v>4200</v>
      </c>
      <c r="V150" s="77" t="s">
        <v>74</v>
      </c>
      <c r="W150" s="77">
        <f t="shared" si="4"/>
        <v>4771162</v>
      </c>
    </row>
    <row r="151" spans="1:23" s="83" customFormat="1" ht="15" thickBot="1" x14ac:dyDescent="0.4">
      <c r="A151" s="74" t="s">
        <v>20</v>
      </c>
      <c r="B151" s="75">
        <v>46204</v>
      </c>
      <c r="C151" s="76" t="s">
        <v>89</v>
      </c>
      <c r="D151" s="76" t="s">
        <v>37</v>
      </c>
      <c r="E151" s="76" t="s">
        <v>23</v>
      </c>
      <c r="F151" s="76" t="s">
        <v>42</v>
      </c>
      <c r="G151" s="107">
        <v>5000</v>
      </c>
      <c r="H151" s="77">
        <v>0</v>
      </c>
      <c r="I151" s="107">
        <v>201867</v>
      </c>
      <c r="J151" s="76">
        <v>35376</v>
      </c>
      <c r="K151" s="76">
        <v>74729</v>
      </c>
      <c r="L151" s="80"/>
      <c r="M151" s="76">
        <v>1056</v>
      </c>
      <c r="N151" s="76">
        <v>1026</v>
      </c>
      <c r="O151" s="76"/>
      <c r="P151" s="76"/>
      <c r="Q151" s="76">
        <v>2333</v>
      </c>
      <c r="R151" s="76">
        <v>0</v>
      </c>
      <c r="S151" s="80">
        <v>1333</v>
      </c>
      <c r="T151" s="107">
        <v>1770</v>
      </c>
      <c r="U151" s="107">
        <v>0</v>
      </c>
      <c r="V151" s="92"/>
      <c r="W151" s="72">
        <f t="shared" si="4"/>
        <v>319490</v>
      </c>
    </row>
    <row r="152" spans="1:23" s="83" customFormat="1" ht="15" thickBot="1" x14ac:dyDescent="0.4">
      <c r="A152" s="74" t="s">
        <v>20</v>
      </c>
      <c r="B152" s="75">
        <v>46204</v>
      </c>
      <c r="C152" s="76" t="s">
        <v>39</v>
      </c>
      <c r="D152" s="76" t="s">
        <v>37</v>
      </c>
      <c r="E152" s="76" t="s">
        <v>23</v>
      </c>
      <c r="F152" s="76" t="s">
        <v>42</v>
      </c>
      <c r="G152" s="76">
        <v>7000</v>
      </c>
      <c r="H152" s="77">
        <v>0</v>
      </c>
      <c r="I152" s="76">
        <v>134123</v>
      </c>
      <c r="J152" s="76">
        <v>35376</v>
      </c>
      <c r="K152" s="76">
        <v>900</v>
      </c>
      <c r="L152" s="80"/>
      <c r="M152" s="76">
        <v>4176</v>
      </c>
      <c r="N152" s="76">
        <v>1026</v>
      </c>
      <c r="O152" s="76"/>
      <c r="P152" s="76"/>
      <c r="Q152" s="76">
        <v>2333</v>
      </c>
      <c r="R152" s="76">
        <v>7096</v>
      </c>
      <c r="S152" s="76">
        <v>1333</v>
      </c>
      <c r="T152" s="76">
        <v>1770</v>
      </c>
      <c r="U152" s="76">
        <v>0</v>
      </c>
      <c r="V152" s="93"/>
      <c r="W152" s="72">
        <f t="shared" si="4"/>
        <v>188133</v>
      </c>
    </row>
    <row r="153" spans="1:23" s="83" customFormat="1" x14ac:dyDescent="0.35">
      <c r="A153" s="74" t="s">
        <v>20</v>
      </c>
      <c r="B153" s="75">
        <v>46204</v>
      </c>
      <c r="C153" s="76" t="s">
        <v>40</v>
      </c>
      <c r="D153" s="76" t="s">
        <v>37</v>
      </c>
      <c r="E153" s="76" t="s">
        <v>23</v>
      </c>
      <c r="F153" s="76" t="s">
        <v>42</v>
      </c>
      <c r="G153" s="76">
        <v>20000</v>
      </c>
      <c r="H153" s="77">
        <v>0</v>
      </c>
      <c r="I153" s="76">
        <v>17875</v>
      </c>
      <c r="J153" s="76">
        <v>35376</v>
      </c>
      <c r="K153" s="76">
        <v>3600</v>
      </c>
      <c r="L153" s="80"/>
      <c r="M153" s="76">
        <v>1376</v>
      </c>
      <c r="N153" s="76">
        <v>1026</v>
      </c>
      <c r="O153" s="76"/>
      <c r="P153" s="76"/>
      <c r="Q153" s="76">
        <v>2333</v>
      </c>
      <c r="R153" s="76">
        <v>0</v>
      </c>
      <c r="S153" s="76">
        <v>1333</v>
      </c>
      <c r="T153" s="108">
        <v>1770</v>
      </c>
      <c r="U153" s="108">
        <v>0</v>
      </c>
      <c r="V153" s="94"/>
      <c r="W153" s="109">
        <f t="shared" si="4"/>
        <v>64689</v>
      </c>
    </row>
    <row r="154" spans="1:23" s="83" customFormat="1" x14ac:dyDescent="0.35">
      <c r="A154" s="74" t="s">
        <v>20</v>
      </c>
      <c r="B154" s="75">
        <v>46204</v>
      </c>
      <c r="C154" s="76" t="s">
        <v>75</v>
      </c>
      <c r="D154" s="76" t="s">
        <v>76</v>
      </c>
      <c r="E154" s="76" t="s">
        <v>77</v>
      </c>
      <c r="F154" s="76" t="s">
        <v>42</v>
      </c>
      <c r="G154" s="76">
        <v>44000</v>
      </c>
      <c r="H154" s="77">
        <v>0</v>
      </c>
      <c r="I154" s="76">
        <v>394620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93"/>
      <c r="W154" s="113">
        <f t="shared" si="4"/>
        <v>394620</v>
      </c>
    </row>
    <row r="155" spans="1:23" s="83" customFormat="1" ht="15" thickBot="1" x14ac:dyDescent="0.4">
      <c r="A155" s="74" t="s">
        <v>20</v>
      </c>
      <c r="B155" s="75">
        <v>46204</v>
      </c>
      <c r="C155" s="76" t="s">
        <v>29</v>
      </c>
      <c r="D155" s="76" t="s">
        <v>46</v>
      </c>
      <c r="E155" s="76" t="s">
        <v>23</v>
      </c>
      <c r="F155" s="76" t="s">
        <v>47</v>
      </c>
      <c r="G155" s="76">
        <v>7400</v>
      </c>
      <c r="H155" s="77">
        <v>0</v>
      </c>
      <c r="I155" s="76">
        <v>32501</v>
      </c>
      <c r="J155" s="76">
        <f>119175/3</f>
        <v>39725</v>
      </c>
      <c r="K155" s="76">
        <v>0</v>
      </c>
      <c r="L155" s="80">
        <v>0</v>
      </c>
      <c r="M155" s="76">
        <v>1964</v>
      </c>
      <c r="N155" s="76">
        <v>504</v>
      </c>
      <c r="O155" s="76">
        <v>1475</v>
      </c>
      <c r="P155" s="107">
        <v>3740</v>
      </c>
      <c r="Q155" s="114">
        <v>0</v>
      </c>
      <c r="R155" s="114">
        <v>0</v>
      </c>
      <c r="S155" s="110"/>
      <c r="T155" s="110"/>
      <c r="U155" s="110"/>
      <c r="V155" s="111"/>
      <c r="W155" s="112">
        <f t="shared" si="4"/>
        <v>79909</v>
      </c>
    </row>
    <row r="156" spans="1:23" s="83" customFormat="1" ht="15" thickBot="1" x14ac:dyDescent="0.4">
      <c r="A156" s="74" t="s">
        <v>20</v>
      </c>
      <c r="B156" s="75">
        <v>46204</v>
      </c>
      <c r="C156" s="76" t="s">
        <v>68</v>
      </c>
      <c r="D156" s="76" t="s">
        <v>46</v>
      </c>
      <c r="E156" s="76" t="s">
        <v>23</v>
      </c>
      <c r="F156" s="77" t="s">
        <v>47</v>
      </c>
      <c r="G156" s="77">
        <v>127392</v>
      </c>
      <c r="H156" s="77">
        <v>0</v>
      </c>
      <c r="I156" s="76">
        <v>2832943</v>
      </c>
      <c r="J156" s="76">
        <v>228506</v>
      </c>
      <c r="K156" s="115">
        <v>0</v>
      </c>
      <c r="L156" s="95">
        <v>226520</v>
      </c>
      <c r="M156" s="76">
        <v>53094</v>
      </c>
      <c r="N156" s="96"/>
      <c r="O156" s="96"/>
      <c r="P156" s="96"/>
      <c r="Q156" s="96"/>
      <c r="R156" s="76">
        <v>10500</v>
      </c>
      <c r="S156" s="96"/>
      <c r="T156" s="76">
        <v>10353</v>
      </c>
      <c r="U156" s="76">
        <v>118671</v>
      </c>
      <c r="V156" s="98" t="s">
        <v>87</v>
      </c>
      <c r="W156" s="72">
        <f t="shared" si="4"/>
        <v>3480587</v>
      </c>
    </row>
    <row r="157" spans="1:23" s="83" customFormat="1" ht="15" thickBot="1" x14ac:dyDescent="0.4">
      <c r="A157" s="74" t="s">
        <v>20</v>
      </c>
      <c r="B157" s="75">
        <v>46204</v>
      </c>
      <c r="C157" s="76" t="s">
        <v>49</v>
      </c>
      <c r="D157" s="76" t="s">
        <v>46</v>
      </c>
      <c r="E157" s="76" t="s">
        <v>23</v>
      </c>
      <c r="F157" s="77" t="s">
        <v>47</v>
      </c>
      <c r="G157" s="77">
        <v>14000</v>
      </c>
      <c r="H157" s="77">
        <v>0</v>
      </c>
      <c r="I157" s="76">
        <v>98002</v>
      </c>
      <c r="J157" s="76">
        <v>39725</v>
      </c>
      <c r="K157" s="115">
        <v>2220</v>
      </c>
      <c r="L157" s="95">
        <v>21046</v>
      </c>
      <c r="M157" s="76">
        <v>2700</v>
      </c>
      <c r="N157" s="76">
        <v>648</v>
      </c>
      <c r="O157" s="76">
        <v>4840</v>
      </c>
      <c r="P157" s="76">
        <v>699</v>
      </c>
      <c r="Q157" s="96"/>
      <c r="R157" s="76">
        <v>3376</v>
      </c>
      <c r="S157" s="96"/>
      <c r="T157" s="96"/>
      <c r="U157" s="96"/>
      <c r="V157" s="97"/>
      <c r="W157" s="72">
        <f t="shared" si="4"/>
        <v>173256</v>
      </c>
    </row>
    <row r="158" spans="1:23" s="106" customFormat="1" ht="15" thickBot="1" x14ac:dyDescent="0.4">
      <c r="A158" s="99" t="s">
        <v>20</v>
      </c>
      <c r="B158" s="100">
        <v>46204</v>
      </c>
      <c r="C158" s="101" t="s">
        <v>50</v>
      </c>
      <c r="D158" s="101" t="s">
        <v>46</v>
      </c>
      <c r="E158" s="101" t="s">
        <v>23</v>
      </c>
      <c r="F158" s="102" t="s">
        <v>47</v>
      </c>
      <c r="G158" s="102">
        <v>15000</v>
      </c>
      <c r="H158" s="102">
        <v>4663</v>
      </c>
      <c r="I158" s="101">
        <v>159490</v>
      </c>
      <c r="J158" s="101">
        <v>39725</v>
      </c>
      <c r="K158" s="116">
        <f>1700+103831</f>
        <v>105531</v>
      </c>
      <c r="L158" s="104">
        <v>21046</v>
      </c>
      <c r="M158" s="101">
        <v>6168</v>
      </c>
      <c r="N158" s="101">
        <v>864</v>
      </c>
      <c r="O158" s="101">
        <v>7610</v>
      </c>
      <c r="P158" s="101">
        <v>9119</v>
      </c>
      <c r="Q158" s="101">
        <v>14000</v>
      </c>
      <c r="R158" s="101">
        <v>4335</v>
      </c>
      <c r="S158" s="103"/>
      <c r="T158" s="103"/>
      <c r="U158" s="103"/>
      <c r="V158" s="105"/>
      <c r="W158" s="72">
        <f t="shared" si="4"/>
        <v>367888</v>
      </c>
    </row>
    <row r="159" spans="1:23" s="163" customFormat="1" ht="15" thickBot="1" x14ac:dyDescent="0.4">
      <c r="A159" s="155" t="s">
        <v>20</v>
      </c>
      <c r="B159" s="156">
        <v>46235</v>
      </c>
      <c r="C159" s="157" t="s">
        <v>83</v>
      </c>
      <c r="D159" s="157" t="s">
        <v>82</v>
      </c>
      <c r="E159" s="157" t="s">
        <v>23</v>
      </c>
      <c r="F159" s="157" t="s">
        <v>51</v>
      </c>
      <c r="G159" s="157">
        <v>3000</v>
      </c>
      <c r="H159" s="157">
        <v>0</v>
      </c>
      <c r="I159" s="157">
        <v>59522</v>
      </c>
      <c r="J159" s="158"/>
      <c r="K159" s="158"/>
      <c r="L159" s="159"/>
      <c r="M159" s="160"/>
      <c r="N159" s="160"/>
      <c r="O159" s="160"/>
      <c r="P159" s="160"/>
      <c r="Q159" s="160"/>
      <c r="R159" s="160"/>
      <c r="S159" s="160"/>
      <c r="T159" s="160"/>
      <c r="U159" s="160"/>
      <c r="V159" s="161"/>
      <c r="W159" s="162">
        <f t="shared" si="4"/>
        <v>59522</v>
      </c>
    </row>
    <row r="160" spans="1:23" s="172" customFormat="1" ht="15" thickBot="1" x14ac:dyDescent="0.4">
      <c r="A160" s="164" t="s">
        <v>20</v>
      </c>
      <c r="B160" s="165">
        <v>46235</v>
      </c>
      <c r="C160" s="166" t="s">
        <v>85</v>
      </c>
      <c r="D160" s="166" t="s">
        <v>82</v>
      </c>
      <c r="E160" s="166" t="s">
        <v>23</v>
      </c>
      <c r="F160" s="167" t="s">
        <v>51</v>
      </c>
      <c r="G160" s="167">
        <v>37309</v>
      </c>
      <c r="H160" s="167">
        <v>0</v>
      </c>
      <c r="I160" s="166"/>
      <c r="J160" s="168"/>
      <c r="K160" s="169"/>
      <c r="L160" s="168">
        <v>45960</v>
      </c>
      <c r="M160" s="168"/>
      <c r="N160" s="168">
        <v>16100</v>
      </c>
      <c r="O160" s="168"/>
      <c r="P160" s="168">
        <v>21163</v>
      </c>
      <c r="Q160" s="168"/>
      <c r="R160" s="170"/>
      <c r="S160" s="170"/>
      <c r="T160" s="170"/>
      <c r="U160" s="170"/>
      <c r="V160" s="171"/>
      <c r="W160" s="162">
        <f t="shared" si="4"/>
        <v>83223</v>
      </c>
    </row>
    <row r="161" spans="1:23" s="172" customFormat="1" ht="15" thickBot="1" x14ac:dyDescent="0.4">
      <c r="A161" s="164" t="s">
        <v>20</v>
      </c>
      <c r="B161" s="165">
        <v>46235</v>
      </c>
      <c r="C161" s="166" t="s">
        <v>29</v>
      </c>
      <c r="D161" s="166" t="s">
        <v>80</v>
      </c>
      <c r="E161" s="166" t="s">
        <v>23</v>
      </c>
      <c r="F161" s="167" t="s">
        <v>51</v>
      </c>
      <c r="G161" s="167">
        <v>30000</v>
      </c>
      <c r="H161" s="167">
        <v>0</v>
      </c>
      <c r="I161" s="166"/>
      <c r="J161" s="168">
        <v>66160</v>
      </c>
      <c r="K161" s="169"/>
      <c r="L161" s="168">
        <v>8150</v>
      </c>
      <c r="M161" s="168">
        <v>2064</v>
      </c>
      <c r="N161" s="168">
        <v>1750</v>
      </c>
      <c r="O161" s="168">
        <v>2458</v>
      </c>
      <c r="P161" s="168">
        <v>6880</v>
      </c>
      <c r="Q161" s="168"/>
      <c r="R161" s="168">
        <v>1250</v>
      </c>
      <c r="S161" s="168">
        <v>6500</v>
      </c>
      <c r="T161" s="168">
        <v>2539</v>
      </c>
      <c r="U161" s="168">
        <v>600</v>
      </c>
      <c r="V161" s="173"/>
      <c r="W161" s="162">
        <f t="shared" si="4"/>
        <v>98351</v>
      </c>
    </row>
    <row r="162" spans="1:23" s="172" customFormat="1" ht="15" thickBot="1" x14ac:dyDescent="0.4">
      <c r="A162" s="164" t="s">
        <v>20</v>
      </c>
      <c r="B162" s="165">
        <v>46235</v>
      </c>
      <c r="C162" s="166" t="s">
        <v>53</v>
      </c>
      <c r="D162" s="166" t="s">
        <v>80</v>
      </c>
      <c r="E162" s="166" t="s">
        <v>23</v>
      </c>
      <c r="F162" s="167" t="s">
        <v>51</v>
      </c>
      <c r="G162" s="167">
        <v>22250</v>
      </c>
      <c r="H162" s="167">
        <v>2178</v>
      </c>
      <c r="I162" s="166"/>
      <c r="J162" s="168">
        <v>33080</v>
      </c>
      <c r="K162" s="169"/>
      <c r="L162" s="168">
        <v>8150</v>
      </c>
      <c r="M162" s="168">
        <v>2400</v>
      </c>
      <c r="N162" s="168">
        <v>1700</v>
      </c>
      <c r="O162" s="168">
        <v>2458</v>
      </c>
      <c r="P162" s="168"/>
      <c r="Q162" s="168"/>
      <c r="R162" s="168">
        <v>1250</v>
      </c>
      <c r="S162" s="168">
        <v>6500</v>
      </c>
      <c r="T162" s="168">
        <v>2539</v>
      </c>
      <c r="U162" s="168"/>
      <c r="V162" s="173"/>
      <c r="W162" s="162">
        <f t="shared" si="4"/>
        <v>58077</v>
      </c>
    </row>
    <row r="163" spans="1:23" s="172" customFormat="1" ht="15" thickBot="1" x14ac:dyDescent="0.4">
      <c r="A163" s="164" t="s">
        <v>20</v>
      </c>
      <c r="B163" s="165">
        <v>46235</v>
      </c>
      <c r="C163" s="166" t="s">
        <v>54</v>
      </c>
      <c r="D163" s="166" t="s">
        <v>81</v>
      </c>
      <c r="E163" s="166" t="s">
        <v>23</v>
      </c>
      <c r="F163" s="167" t="s">
        <v>51</v>
      </c>
      <c r="G163" s="167">
        <v>177495</v>
      </c>
      <c r="H163" s="167">
        <v>0</v>
      </c>
      <c r="I163" s="166">
        <v>2148156</v>
      </c>
      <c r="J163" s="168">
        <v>233436</v>
      </c>
      <c r="K163" s="169">
        <v>59150</v>
      </c>
      <c r="L163" s="168">
        <v>118575</v>
      </c>
      <c r="M163" s="168">
        <v>55069</v>
      </c>
      <c r="N163" s="168">
        <v>19846</v>
      </c>
      <c r="O163" s="168">
        <v>31605</v>
      </c>
      <c r="P163" s="168">
        <v>19620</v>
      </c>
      <c r="Q163" s="168"/>
      <c r="R163" s="168">
        <v>17186</v>
      </c>
      <c r="S163" s="168"/>
      <c r="T163" s="168">
        <v>8654</v>
      </c>
      <c r="U163" s="168"/>
      <c r="V163" s="173"/>
      <c r="W163" s="162">
        <f t="shared" si="4"/>
        <v>2711297</v>
      </c>
    </row>
    <row r="164" spans="1:23" s="172" customFormat="1" ht="15" thickBot="1" x14ac:dyDescent="0.4">
      <c r="A164" s="164" t="s">
        <v>20</v>
      </c>
      <c r="B164" s="165">
        <v>46235</v>
      </c>
      <c r="C164" s="166" t="s">
        <v>56</v>
      </c>
      <c r="D164" s="166" t="s">
        <v>81</v>
      </c>
      <c r="E164" s="166" t="s">
        <v>23</v>
      </c>
      <c r="F164" s="167" t="s">
        <v>51</v>
      </c>
      <c r="G164" s="167">
        <v>12500</v>
      </c>
      <c r="H164" s="167">
        <v>0</v>
      </c>
      <c r="I164" s="166">
        <v>875003</v>
      </c>
      <c r="J164" s="168">
        <v>66696</v>
      </c>
      <c r="K164" s="169"/>
      <c r="L164" s="168">
        <v>53897</v>
      </c>
      <c r="M164" s="168">
        <v>14210</v>
      </c>
      <c r="N164" s="168">
        <v>7865</v>
      </c>
      <c r="O164" s="168"/>
      <c r="P164" s="168"/>
      <c r="Q164" s="168"/>
      <c r="R164" s="168"/>
      <c r="S164" s="168"/>
      <c r="T164" s="168"/>
      <c r="U164" s="168"/>
      <c r="V164" s="173"/>
      <c r="W164" s="162">
        <f t="shared" si="4"/>
        <v>1017671</v>
      </c>
    </row>
    <row r="165" spans="1:23" s="172" customFormat="1" ht="15" thickBot="1" x14ac:dyDescent="0.4">
      <c r="A165" s="164" t="s">
        <v>20</v>
      </c>
      <c r="B165" s="165">
        <v>46235</v>
      </c>
      <c r="C165" s="166" t="s">
        <v>103</v>
      </c>
      <c r="D165" s="166" t="s">
        <v>81</v>
      </c>
      <c r="E165" s="166" t="s">
        <v>23</v>
      </c>
      <c r="F165" s="167" t="s">
        <v>51</v>
      </c>
      <c r="G165" s="167">
        <v>1000</v>
      </c>
      <c r="H165" s="167">
        <v>0</v>
      </c>
      <c r="I165" s="166"/>
      <c r="J165" s="168"/>
      <c r="K165" s="169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73"/>
      <c r="W165" s="162">
        <f>SUM(I165:U165)</f>
        <v>0</v>
      </c>
    </row>
    <row r="166" spans="1:23" s="172" customFormat="1" ht="15" thickBot="1" x14ac:dyDescent="0.4">
      <c r="A166" s="164" t="s">
        <v>20</v>
      </c>
      <c r="B166" s="165">
        <v>46235</v>
      </c>
      <c r="C166" s="166" t="s">
        <v>39</v>
      </c>
      <c r="D166" s="166" t="s">
        <v>81</v>
      </c>
      <c r="E166" s="166" t="s">
        <v>23</v>
      </c>
      <c r="F166" s="167" t="s">
        <v>51</v>
      </c>
      <c r="G166" s="167">
        <v>8725</v>
      </c>
      <c r="H166" s="167">
        <v>9500</v>
      </c>
      <c r="I166" s="166">
        <v>229689</v>
      </c>
      <c r="J166" s="168">
        <v>33348</v>
      </c>
      <c r="K166" s="169">
        <v>13000</v>
      </c>
      <c r="L166" s="168">
        <v>43118</v>
      </c>
      <c r="M166" s="168">
        <v>5200</v>
      </c>
      <c r="N166" s="168">
        <v>3300</v>
      </c>
      <c r="O166" s="168">
        <v>23072</v>
      </c>
      <c r="P166" s="168"/>
      <c r="Q166" s="168"/>
      <c r="R166" s="168">
        <v>3287</v>
      </c>
      <c r="S166" s="168"/>
      <c r="T166" s="168"/>
      <c r="U166" s="168"/>
      <c r="V166" s="173"/>
      <c r="W166" s="162">
        <f>SUM(I166:U166)</f>
        <v>354014</v>
      </c>
    </row>
    <row r="167" spans="1:23" s="172" customFormat="1" ht="15" thickBot="1" x14ac:dyDescent="0.4">
      <c r="A167" s="164" t="s">
        <v>20</v>
      </c>
      <c r="B167" s="165">
        <v>46235</v>
      </c>
      <c r="C167" s="166" t="s">
        <v>57</v>
      </c>
      <c r="D167" s="166" t="s">
        <v>84</v>
      </c>
      <c r="E167" s="166" t="s">
        <v>23</v>
      </c>
      <c r="F167" s="167" t="s">
        <v>51</v>
      </c>
      <c r="G167" s="167">
        <v>18525</v>
      </c>
      <c r="H167" s="167">
        <v>0</v>
      </c>
      <c r="I167" s="166">
        <v>35378</v>
      </c>
      <c r="J167" s="168">
        <v>32650</v>
      </c>
      <c r="K167" s="169">
        <v>638164</v>
      </c>
      <c r="L167" s="168">
        <v>28812</v>
      </c>
      <c r="M167" s="168">
        <v>4000</v>
      </c>
      <c r="N167" s="168">
        <v>5800</v>
      </c>
      <c r="O167" s="168">
        <v>2984</v>
      </c>
      <c r="P167" s="168"/>
      <c r="Q167" s="168"/>
      <c r="R167" s="168"/>
      <c r="S167" s="168"/>
      <c r="T167" s="168"/>
      <c r="U167" s="168">
        <v>84000</v>
      </c>
      <c r="V167" s="173" t="s">
        <v>90</v>
      </c>
      <c r="W167" s="162">
        <f t="shared" ref="W167:W196" si="5">SUM(I167:U167)</f>
        <v>831788</v>
      </c>
    </row>
    <row r="168" spans="1:23" s="172" customFormat="1" ht="15" thickBot="1" x14ac:dyDescent="0.4">
      <c r="A168" s="164" t="s">
        <v>20</v>
      </c>
      <c r="B168" s="165">
        <v>46235</v>
      </c>
      <c r="C168" s="166" t="s">
        <v>33</v>
      </c>
      <c r="D168" s="166" t="s">
        <v>84</v>
      </c>
      <c r="E168" s="166" t="s">
        <v>23</v>
      </c>
      <c r="F168" s="167" t="s">
        <v>51</v>
      </c>
      <c r="G168" s="167">
        <v>40000</v>
      </c>
      <c r="H168" s="167">
        <v>0</v>
      </c>
      <c r="I168" s="166"/>
      <c r="J168" s="168"/>
      <c r="K168" s="169"/>
      <c r="L168" s="168">
        <v>115248</v>
      </c>
      <c r="M168" s="168">
        <v>40600</v>
      </c>
      <c r="N168" s="168">
        <v>74800</v>
      </c>
      <c r="O168" s="168">
        <v>12798</v>
      </c>
      <c r="P168" s="168"/>
      <c r="Q168" s="168">
        <v>3932</v>
      </c>
      <c r="R168" s="168">
        <v>13688</v>
      </c>
      <c r="S168" s="168"/>
      <c r="T168" s="168">
        <v>6392</v>
      </c>
      <c r="U168" s="168"/>
      <c r="V168" s="173"/>
      <c r="W168" s="162">
        <f t="shared" si="5"/>
        <v>267458</v>
      </c>
    </row>
    <row r="169" spans="1:23" s="172" customFormat="1" ht="15" thickBot="1" x14ac:dyDescent="0.4">
      <c r="A169" s="164" t="s">
        <v>20</v>
      </c>
      <c r="B169" s="165">
        <v>46235</v>
      </c>
      <c r="C169" s="166" t="s">
        <v>33</v>
      </c>
      <c r="D169" s="166" t="s">
        <v>59</v>
      </c>
      <c r="E169" s="166" t="s">
        <v>32</v>
      </c>
      <c r="F169" s="167" t="s">
        <v>51</v>
      </c>
      <c r="G169" s="167">
        <v>30094</v>
      </c>
      <c r="H169" s="167">
        <v>0</v>
      </c>
      <c r="I169" s="166"/>
      <c r="J169" s="168"/>
      <c r="K169" s="169"/>
      <c r="L169" s="168"/>
      <c r="M169" s="168"/>
      <c r="N169" s="168"/>
      <c r="O169" s="168"/>
      <c r="P169" s="168"/>
      <c r="Q169" s="168"/>
      <c r="R169" s="170"/>
      <c r="S169" s="170"/>
      <c r="T169" s="170"/>
      <c r="U169" s="170"/>
      <c r="V169" s="171"/>
      <c r="W169" s="162">
        <f t="shared" si="5"/>
        <v>0</v>
      </c>
    </row>
    <row r="170" spans="1:23" s="172" customFormat="1" ht="15" thickBot="1" x14ac:dyDescent="0.4">
      <c r="A170" s="164" t="s">
        <v>20</v>
      </c>
      <c r="B170" s="165">
        <v>46235</v>
      </c>
      <c r="C170" s="166" t="s">
        <v>33</v>
      </c>
      <c r="D170" s="166" t="s">
        <v>60</v>
      </c>
      <c r="E170" s="166" t="s">
        <v>23</v>
      </c>
      <c r="F170" s="166" t="s">
        <v>51</v>
      </c>
      <c r="G170" s="166">
        <v>62000</v>
      </c>
      <c r="H170" s="167">
        <v>0</v>
      </c>
      <c r="I170" s="166"/>
      <c r="J170" s="168"/>
      <c r="K170" s="168"/>
      <c r="L170" s="168"/>
      <c r="M170" s="174"/>
      <c r="N170" s="175"/>
      <c r="O170" s="175"/>
      <c r="P170" s="175"/>
      <c r="Q170" s="175"/>
      <c r="R170" s="175"/>
      <c r="S170" s="175"/>
      <c r="T170" s="175"/>
      <c r="U170" s="175"/>
      <c r="V170" s="176"/>
      <c r="W170" s="162">
        <f t="shared" si="5"/>
        <v>0</v>
      </c>
    </row>
    <row r="171" spans="1:23" s="172" customFormat="1" ht="15" thickBot="1" x14ac:dyDescent="0.4">
      <c r="A171" s="164" t="s">
        <v>20</v>
      </c>
      <c r="B171" s="165">
        <v>46235</v>
      </c>
      <c r="C171" s="166" t="s">
        <v>61</v>
      </c>
      <c r="D171" s="166" t="s">
        <v>62</v>
      </c>
      <c r="E171" s="166" t="s">
        <v>32</v>
      </c>
      <c r="F171" s="166" t="s">
        <v>63</v>
      </c>
      <c r="G171" s="166">
        <v>1306800</v>
      </c>
      <c r="H171" s="167">
        <v>0</v>
      </c>
      <c r="I171" s="168"/>
      <c r="J171" s="168"/>
      <c r="K171" s="168"/>
      <c r="L171" s="177"/>
      <c r="M171" s="178"/>
      <c r="N171" s="178"/>
      <c r="O171" s="177"/>
      <c r="P171" s="178"/>
      <c r="Q171" s="178"/>
      <c r="R171" s="178"/>
      <c r="S171" s="178"/>
      <c r="T171" s="178"/>
      <c r="U171" s="177"/>
      <c r="V171" s="179"/>
      <c r="W171" s="162">
        <f t="shared" si="5"/>
        <v>0</v>
      </c>
    </row>
    <row r="172" spans="1:23" s="172" customFormat="1" ht="15" thickBot="1" x14ac:dyDescent="0.4">
      <c r="A172" s="164" t="s">
        <v>20</v>
      </c>
      <c r="B172" s="165">
        <v>46235</v>
      </c>
      <c r="C172" s="166" t="s">
        <v>65</v>
      </c>
      <c r="D172" s="166" t="s">
        <v>66</v>
      </c>
      <c r="E172" s="166" t="s">
        <v>23</v>
      </c>
      <c r="F172" s="166" t="s">
        <v>63</v>
      </c>
      <c r="G172" s="166">
        <v>39100</v>
      </c>
      <c r="H172" s="166">
        <v>800</v>
      </c>
      <c r="I172" s="168">
        <v>253676.98</v>
      </c>
      <c r="J172" s="168"/>
      <c r="K172" s="168">
        <v>0</v>
      </c>
      <c r="L172" s="16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9"/>
      <c r="W172" s="162">
        <f t="shared" si="5"/>
        <v>253676.98</v>
      </c>
    </row>
    <row r="173" spans="1:23" s="172" customFormat="1" ht="15" thickBot="1" x14ac:dyDescent="0.4">
      <c r="A173" s="164" t="s">
        <v>20</v>
      </c>
      <c r="B173" s="165">
        <v>46235</v>
      </c>
      <c r="C173" s="166" t="s">
        <v>67</v>
      </c>
      <c r="D173" s="166" t="s">
        <v>66</v>
      </c>
      <c r="E173" s="166" t="s">
        <v>23</v>
      </c>
      <c r="F173" s="166" t="s">
        <v>63</v>
      </c>
      <c r="G173" s="166">
        <v>3200</v>
      </c>
      <c r="H173" s="167">
        <v>0</v>
      </c>
      <c r="I173" s="168">
        <v>0</v>
      </c>
      <c r="J173" s="168"/>
      <c r="K173" s="168"/>
      <c r="L173" s="16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9"/>
      <c r="W173" s="162">
        <f t="shared" si="5"/>
        <v>0</v>
      </c>
    </row>
    <row r="174" spans="1:23" s="172" customFormat="1" ht="15" thickBot="1" x14ac:dyDescent="0.4">
      <c r="A174" s="164" t="s">
        <v>20</v>
      </c>
      <c r="B174" s="165">
        <v>46235</v>
      </c>
      <c r="C174" s="166" t="s">
        <v>83</v>
      </c>
      <c r="D174" s="166" t="s">
        <v>66</v>
      </c>
      <c r="E174" s="166" t="s">
        <v>23</v>
      </c>
      <c r="F174" s="166" t="s">
        <v>63</v>
      </c>
      <c r="G174" s="166">
        <v>5000</v>
      </c>
      <c r="H174" s="166">
        <v>2000</v>
      </c>
      <c r="I174" s="168"/>
      <c r="J174" s="168"/>
      <c r="K174" s="168"/>
      <c r="L174" s="16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9"/>
      <c r="W174" s="162">
        <f t="shared" si="5"/>
        <v>0</v>
      </c>
    </row>
    <row r="175" spans="1:23" s="172" customFormat="1" ht="15" thickBot="1" x14ac:dyDescent="0.4">
      <c r="A175" s="164" t="s">
        <v>20</v>
      </c>
      <c r="B175" s="165">
        <v>46235</v>
      </c>
      <c r="C175" s="166" t="s">
        <v>39</v>
      </c>
      <c r="D175" s="166" t="s">
        <v>66</v>
      </c>
      <c r="E175" s="166" t="s">
        <v>23</v>
      </c>
      <c r="F175" s="166" t="s">
        <v>63</v>
      </c>
      <c r="G175" s="166">
        <v>6000</v>
      </c>
      <c r="H175" s="166">
        <v>6000</v>
      </c>
      <c r="I175" s="168"/>
      <c r="J175" s="168"/>
      <c r="K175" s="168"/>
      <c r="L175" s="168"/>
      <c r="M175" s="178"/>
      <c r="N175" s="178"/>
      <c r="O175" s="178"/>
      <c r="P175" s="178"/>
      <c r="Q175" s="178"/>
      <c r="R175" s="178"/>
      <c r="S175" s="177"/>
      <c r="T175" s="178"/>
      <c r="U175" s="178"/>
      <c r="V175" s="179"/>
      <c r="W175" s="162">
        <f t="shared" si="5"/>
        <v>0</v>
      </c>
    </row>
    <row r="176" spans="1:23" s="172" customFormat="1" ht="15" thickBot="1" x14ac:dyDescent="0.4">
      <c r="A176" s="164" t="s">
        <v>20</v>
      </c>
      <c r="B176" s="165">
        <v>46235</v>
      </c>
      <c r="C176" s="166" t="s">
        <v>68</v>
      </c>
      <c r="D176" s="166" t="s">
        <v>69</v>
      </c>
      <c r="E176" s="166" t="s">
        <v>32</v>
      </c>
      <c r="F176" s="166" t="s">
        <v>63</v>
      </c>
      <c r="G176" s="166">
        <v>108561</v>
      </c>
      <c r="H176" s="167">
        <v>0</v>
      </c>
      <c r="I176" s="168">
        <v>3570626</v>
      </c>
      <c r="J176" s="168"/>
      <c r="K176" s="168">
        <v>0</v>
      </c>
      <c r="L176" s="177"/>
      <c r="M176" s="178"/>
      <c r="N176" s="177"/>
      <c r="O176" s="177"/>
      <c r="P176" s="178"/>
      <c r="Q176" s="177"/>
      <c r="R176" s="178"/>
      <c r="S176" s="178"/>
      <c r="T176" s="177"/>
      <c r="U176" s="177"/>
      <c r="V176" s="179"/>
      <c r="W176" s="162">
        <f t="shared" si="5"/>
        <v>3570626</v>
      </c>
    </row>
    <row r="177" spans="1:23" s="172" customFormat="1" ht="15" thickBot="1" x14ac:dyDescent="0.4">
      <c r="A177" s="164" t="s">
        <v>20</v>
      </c>
      <c r="B177" s="165">
        <v>46235</v>
      </c>
      <c r="C177" s="166" t="s">
        <v>70</v>
      </c>
      <c r="D177" s="166" t="s">
        <v>71</v>
      </c>
      <c r="E177" s="166" t="s">
        <v>32</v>
      </c>
      <c r="F177" s="166" t="s">
        <v>63</v>
      </c>
      <c r="G177" s="166">
        <v>30000</v>
      </c>
      <c r="H177" s="167">
        <v>0</v>
      </c>
      <c r="I177" s="168"/>
      <c r="J177" s="168"/>
      <c r="K177" s="16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7"/>
      <c r="V177" s="179"/>
      <c r="W177" s="162">
        <f t="shared" si="5"/>
        <v>0</v>
      </c>
    </row>
    <row r="178" spans="1:23" s="172" customFormat="1" ht="15" thickBot="1" x14ac:dyDescent="0.4">
      <c r="A178" s="164" t="s">
        <v>20</v>
      </c>
      <c r="B178" s="165">
        <v>46235</v>
      </c>
      <c r="C178" s="166" t="s">
        <v>85</v>
      </c>
      <c r="D178" s="166" t="s">
        <v>72</v>
      </c>
      <c r="E178" s="166" t="s">
        <v>32</v>
      </c>
      <c r="F178" s="166" t="s">
        <v>63</v>
      </c>
      <c r="G178" s="166">
        <v>21000</v>
      </c>
      <c r="H178" s="167">
        <v>0</v>
      </c>
      <c r="I178" s="166"/>
      <c r="J178" s="168"/>
      <c r="K178" s="168"/>
      <c r="L178" s="177"/>
      <c r="M178" s="177"/>
      <c r="N178" s="177"/>
      <c r="O178" s="177"/>
      <c r="P178" s="177"/>
      <c r="Q178" s="178"/>
      <c r="R178" s="178"/>
      <c r="S178" s="177"/>
      <c r="T178" s="178"/>
      <c r="U178" s="178"/>
      <c r="V178" s="179"/>
      <c r="W178" s="162">
        <f t="shared" si="5"/>
        <v>0</v>
      </c>
    </row>
    <row r="179" spans="1:23" s="172" customFormat="1" ht="15" thickBot="1" x14ac:dyDescent="0.4">
      <c r="A179" s="164"/>
      <c r="B179" s="165">
        <v>46235</v>
      </c>
      <c r="C179" s="166" t="s">
        <v>125</v>
      </c>
      <c r="D179" s="166" t="s">
        <v>120</v>
      </c>
      <c r="E179" s="166" t="s">
        <v>32</v>
      </c>
      <c r="F179" s="166" t="s">
        <v>24</v>
      </c>
      <c r="G179" s="166"/>
      <c r="H179" s="167"/>
      <c r="I179" s="166">
        <v>12154008</v>
      </c>
      <c r="J179" s="181">
        <v>726193.01</v>
      </c>
      <c r="K179" s="181"/>
      <c r="L179" s="181">
        <v>239145</v>
      </c>
      <c r="M179" s="215"/>
      <c r="N179" s="215"/>
      <c r="O179" s="215"/>
      <c r="P179" s="215"/>
      <c r="Q179" s="216"/>
      <c r="R179" s="216"/>
      <c r="S179" s="215"/>
      <c r="T179" s="216"/>
      <c r="U179" s="216"/>
      <c r="V179" s="217"/>
      <c r="W179" s="162"/>
    </row>
    <row r="180" spans="1:23" s="172" customFormat="1" ht="15" thickBot="1" x14ac:dyDescent="0.4">
      <c r="A180" s="164"/>
      <c r="B180" s="165">
        <v>46235</v>
      </c>
      <c r="C180" s="166" t="s">
        <v>126</v>
      </c>
      <c r="D180" s="166" t="s">
        <v>121</v>
      </c>
      <c r="E180" s="166" t="s">
        <v>32</v>
      </c>
      <c r="F180" s="166" t="s">
        <v>24</v>
      </c>
      <c r="G180" s="166"/>
      <c r="H180" s="167"/>
      <c r="I180" s="166">
        <v>3091802</v>
      </c>
      <c r="J180" s="181">
        <v>315831.08</v>
      </c>
      <c r="K180" s="181"/>
      <c r="L180" s="215"/>
      <c r="M180" s="215"/>
      <c r="N180" s="215"/>
      <c r="O180" s="215"/>
      <c r="P180" s="215"/>
      <c r="Q180" s="216"/>
      <c r="R180" s="216"/>
      <c r="S180" s="215"/>
      <c r="T180" s="216"/>
      <c r="U180" s="216"/>
      <c r="V180" s="217"/>
      <c r="W180" s="162"/>
    </row>
    <row r="181" spans="1:23" s="172" customFormat="1" ht="15" thickBot="1" x14ac:dyDescent="0.4">
      <c r="A181" s="164" t="s">
        <v>20</v>
      </c>
      <c r="B181" s="165">
        <v>46235</v>
      </c>
      <c r="C181" s="166" t="s">
        <v>123</v>
      </c>
      <c r="D181" s="166" t="s">
        <v>122</v>
      </c>
      <c r="E181" s="166" t="s">
        <v>32</v>
      </c>
      <c r="F181" s="166" t="s">
        <v>24</v>
      </c>
      <c r="G181" s="166">
        <v>184730</v>
      </c>
      <c r="H181" s="167">
        <v>0</v>
      </c>
      <c r="I181" s="166">
        <v>600520</v>
      </c>
      <c r="J181" s="181">
        <v>279318.77</v>
      </c>
      <c r="K181" s="180">
        <v>0</v>
      </c>
      <c r="L181" s="185"/>
      <c r="M181" s="182"/>
      <c r="N181" s="182"/>
      <c r="O181" s="182"/>
      <c r="P181" s="182"/>
      <c r="Q181" s="182"/>
      <c r="R181" s="182"/>
      <c r="S181" s="182"/>
      <c r="T181" s="182"/>
      <c r="U181" s="182"/>
      <c r="V181" s="183"/>
      <c r="W181" s="162">
        <f t="shared" si="5"/>
        <v>879838.77</v>
      </c>
    </row>
    <row r="182" spans="1:23" s="172" customFormat="1" ht="15" thickBot="1" x14ac:dyDescent="0.4">
      <c r="A182" s="164" t="s">
        <v>20</v>
      </c>
      <c r="B182" s="165">
        <v>46235</v>
      </c>
      <c r="C182" s="166" t="s">
        <v>33</v>
      </c>
      <c r="D182" s="20" t="s">
        <v>121</v>
      </c>
      <c r="E182" s="166" t="s">
        <v>32</v>
      </c>
      <c r="F182" s="166" t="s">
        <v>24</v>
      </c>
      <c r="G182" s="166">
        <v>43015</v>
      </c>
      <c r="H182" s="167">
        <v>0</v>
      </c>
      <c r="I182" s="166"/>
      <c r="J182" s="166"/>
      <c r="K182" s="166"/>
      <c r="L182" s="168"/>
      <c r="M182" s="184"/>
      <c r="N182" s="184"/>
      <c r="O182" s="184"/>
      <c r="P182" s="184"/>
      <c r="Q182" s="184"/>
      <c r="R182" s="184"/>
      <c r="S182" s="184"/>
      <c r="T182" s="184"/>
      <c r="U182" s="184"/>
      <c r="V182" s="185"/>
      <c r="W182" s="162">
        <f t="shared" si="5"/>
        <v>0</v>
      </c>
    </row>
    <row r="183" spans="1:23" s="172" customFormat="1" ht="15" thickBot="1" x14ac:dyDescent="0.4">
      <c r="A183" s="164" t="s">
        <v>20</v>
      </c>
      <c r="B183" s="165">
        <v>46235</v>
      </c>
      <c r="C183" s="166" t="s">
        <v>44</v>
      </c>
      <c r="D183" s="20" t="s">
        <v>122</v>
      </c>
      <c r="E183" s="166" t="s">
        <v>32</v>
      </c>
      <c r="F183" s="166" t="s">
        <v>24</v>
      </c>
      <c r="G183" s="166">
        <v>25000</v>
      </c>
      <c r="H183" s="167">
        <v>0</v>
      </c>
      <c r="I183" s="166"/>
      <c r="J183" s="166"/>
      <c r="K183" s="166"/>
      <c r="L183" s="16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7"/>
      <c r="W183" s="162">
        <f t="shared" si="5"/>
        <v>0</v>
      </c>
    </row>
    <row r="184" spans="1:23" s="172" customFormat="1" ht="15" thickBot="1" x14ac:dyDescent="0.4">
      <c r="A184" s="164" t="s">
        <v>20</v>
      </c>
      <c r="B184" s="165">
        <v>46235</v>
      </c>
      <c r="C184" s="166" t="s">
        <v>21</v>
      </c>
      <c r="D184" s="166" t="s">
        <v>22</v>
      </c>
      <c r="E184" s="166" t="s">
        <v>23</v>
      </c>
      <c r="F184" s="167" t="s">
        <v>42</v>
      </c>
      <c r="G184" s="167">
        <v>11702</v>
      </c>
      <c r="H184" s="167">
        <v>0</v>
      </c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2">
        <f t="shared" si="5"/>
        <v>0</v>
      </c>
    </row>
    <row r="185" spans="1:23" s="172" customFormat="1" ht="15" thickBot="1" x14ac:dyDescent="0.4">
      <c r="A185" s="164" t="s">
        <v>20</v>
      </c>
      <c r="B185" s="165">
        <v>46235</v>
      </c>
      <c r="C185" s="166" t="s">
        <v>26</v>
      </c>
      <c r="D185" s="166" t="s">
        <v>22</v>
      </c>
      <c r="E185" s="166" t="s">
        <v>23</v>
      </c>
      <c r="F185" s="167" t="s">
        <v>42</v>
      </c>
      <c r="G185" s="167">
        <v>15000</v>
      </c>
      <c r="H185" s="167">
        <v>4000</v>
      </c>
      <c r="I185" s="167"/>
      <c r="J185" s="169">
        <v>102769</v>
      </c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2">
        <f t="shared" si="5"/>
        <v>102769</v>
      </c>
    </row>
    <row r="186" spans="1:23" s="172" customFormat="1" ht="15" thickBot="1" x14ac:dyDescent="0.4">
      <c r="A186" s="164" t="s">
        <v>20</v>
      </c>
      <c r="B186" s="165">
        <v>46235</v>
      </c>
      <c r="C186" s="166" t="s">
        <v>28</v>
      </c>
      <c r="D186" s="166" t="s">
        <v>22</v>
      </c>
      <c r="E186" s="166" t="s">
        <v>23</v>
      </c>
      <c r="F186" s="167" t="s">
        <v>42</v>
      </c>
      <c r="G186" s="167">
        <v>11014</v>
      </c>
      <c r="H186" s="167">
        <v>0</v>
      </c>
      <c r="I186" s="167"/>
      <c r="J186" s="218">
        <v>0</v>
      </c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2">
        <f t="shared" si="5"/>
        <v>0</v>
      </c>
    </row>
    <row r="187" spans="1:23" s="172" customFormat="1" x14ac:dyDescent="0.35">
      <c r="A187" s="164" t="s">
        <v>20</v>
      </c>
      <c r="B187" s="165">
        <v>46235</v>
      </c>
      <c r="C187" s="166" t="s">
        <v>29</v>
      </c>
      <c r="D187" s="166" t="s">
        <v>22</v>
      </c>
      <c r="E187" s="166" t="s">
        <v>23</v>
      </c>
      <c r="F187" s="167" t="s">
        <v>42</v>
      </c>
      <c r="G187" s="167">
        <v>14565</v>
      </c>
      <c r="H187" s="167">
        <v>0</v>
      </c>
      <c r="I187" s="167"/>
      <c r="J187" s="169">
        <v>51384.5</v>
      </c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2">
        <f t="shared" si="5"/>
        <v>51384.5</v>
      </c>
    </row>
    <row r="188" spans="1:23" s="172" customFormat="1" ht="15" thickBot="1" x14ac:dyDescent="0.4">
      <c r="A188" s="164" t="s">
        <v>20</v>
      </c>
      <c r="B188" s="165">
        <v>46235</v>
      </c>
      <c r="C188" s="166" t="s">
        <v>33</v>
      </c>
      <c r="D188" s="166" t="s">
        <v>34</v>
      </c>
      <c r="E188" s="166" t="s">
        <v>32</v>
      </c>
      <c r="F188" s="167" t="s">
        <v>42</v>
      </c>
      <c r="G188" s="167">
        <v>40000</v>
      </c>
      <c r="H188" s="167">
        <v>0</v>
      </c>
      <c r="I188" s="169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>
        <f t="shared" si="5"/>
        <v>0</v>
      </c>
    </row>
    <row r="189" spans="1:23" s="172" customFormat="1" ht="15" thickBot="1" x14ac:dyDescent="0.4">
      <c r="A189" s="164" t="s">
        <v>20</v>
      </c>
      <c r="B189" s="165">
        <v>46235</v>
      </c>
      <c r="C189" s="166" t="s">
        <v>89</v>
      </c>
      <c r="D189" s="166" t="s">
        <v>37</v>
      </c>
      <c r="E189" s="166" t="s">
        <v>23</v>
      </c>
      <c r="F189" s="166" t="s">
        <v>42</v>
      </c>
      <c r="G189" s="180">
        <v>5000</v>
      </c>
      <c r="H189" s="167">
        <v>0</v>
      </c>
      <c r="I189" s="180"/>
      <c r="J189" s="166"/>
      <c r="K189" s="166"/>
      <c r="L189" s="168"/>
      <c r="M189" s="166"/>
      <c r="N189" s="166"/>
      <c r="O189" s="166"/>
      <c r="P189" s="166"/>
      <c r="Q189" s="166"/>
      <c r="R189" s="166"/>
      <c r="S189" s="168"/>
      <c r="T189" s="180"/>
      <c r="U189" s="180"/>
      <c r="V189" s="183"/>
      <c r="W189" s="162">
        <f t="shared" si="5"/>
        <v>0</v>
      </c>
    </row>
    <row r="190" spans="1:23" s="172" customFormat="1" ht="15" thickBot="1" x14ac:dyDescent="0.4">
      <c r="A190" s="164" t="s">
        <v>20</v>
      </c>
      <c r="B190" s="165">
        <v>46235</v>
      </c>
      <c r="C190" s="166" t="s">
        <v>39</v>
      </c>
      <c r="D190" s="166" t="s">
        <v>37</v>
      </c>
      <c r="E190" s="166" t="s">
        <v>23</v>
      </c>
      <c r="F190" s="166" t="s">
        <v>42</v>
      </c>
      <c r="G190" s="166">
        <v>7000</v>
      </c>
      <c r="H190" s="167">
        <v>0</v>
      </c>
      <c r="I190" s="166"/>
      <c r="J190" s="166"/>
      <c r="K190" s="166"/>
      <c r="L190" s="168"/>
      <c r="M190" s="166"/>
      <c r="N190" s="166"/>
      <c r="O190" s="166"/>
      <c r="P190" s="166"/>
      <c r="Q190" s="166"/>
      <c r="R190" s="166"/>
      <c r="S190" s="166"/>
      <c r="T190" s="166"/>
      <c r="U190" s="166"/>
      <c r="V190" s="185"/>
      <c r="W190" s="162">
        <f t="shared" si="5"/>
        <v>0</v>
      </c>
    </row>
    <row r="191" spans="1:23" s="172" customFormat="1" x14ac:dyDescent="0.35">
      <c r="A191" s="164" t="s">
        <v>20</v>
      </c>
      <c r="B191" s="165">
        <v>46235</v>
      </c>
      <c r="C191" s="166" t="s">
        <v>40</v>
      </c>
      <c r="D191" s="166" t="s">
        <v>37</v>
      </c>
      <c r="E191" s="166" t="s">
        <v>23</v>
      </c>
      <c r="F191" s="166" t="s">
        <v>42</v>
      </c>
      <c r="G191" s="166">
        <v>20000</v>
      </c>
      <c r="H191" s="167">
        <v>0</v>
      </c>
      <c r="I191" s="166"/>
      <c r="J191" s="166"/>
      <c r="K191" s="166"/>
      <c r="L191" s="168"/>
      <c r="M191" s="166"/>
      <c r="N191" s="166"/>
      <c r="O191" s="166"/>
      <c r="P191" s="166"/>
      <c r="Q191" s="166"/>
      <c r="R191" s="166"/>
      <c r="S191" s="166"/>
      <c r="T191" s="186"/>
      <c r="U191" s="186"/>
      <c r="V191" s="187"/>
      <c r="W191" s="188">
        <f t="shared" si="5"/>
        <v>0</v>
      </c>
    </row>
    <row r="192" spans="1:23" s="172" customFormat="1" x14ac:dyDescent="0.35">
      <c r="A192" s="164" t="s">
        <v>20</v>
      </c>
      <c r="B192" s="165">
        <v>46235</v>
      </c>
      <c r="C192" s="166" t="s">
        <v>75</v>
      </c>
      <c r="D192" s="166" t="s">
        <v>76</v>
      </c>
      <c r="E192" s="166" t="s">
        <v>77</v>
      </c>
      <c r="F192" s="166" t="s">
        <v>42</v>
      </c>
      <c r="G192" s="166">
        <v>44000</v>
      </c>
      <c r="H192" s="167">
        <v>0</v>
      </c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85"/>
      <c r="W192" s="189">
        <f t="shared" si="5"/>
        <v>0</v>
      </c>
    </row>
    <row r="193" spans="1:23" s="172" customFormat="1" ht="15" thickBot="1" x14ac:dyDescent="0.4">
      <c r="A193" s="164" t="s">
        <v>20</v>
      </c>
      <c r="B193" s="165">
        <v>46235</v>
      </c>
      <c r="C193" s="166" t="s">
        <v>29</v>
      </c>
      <c r="D193" s="166" t="s">
        <v>46</v>
      </c>
      <c r="E193" s="166" t="s">
        <v>23</v>
      </c>
      <c r="F193" s="166" t="s">
        <v>47</v>
      </c>
      <c r="G193" s="166">
        <v>7400</v>
      </c>
      <c r="H193" s="167">
        <v>0</v>
      </c>
      <c r="I193" s="166"/>
      <c r="J193" s="166"/>
      <c r="K193" s="166"/>
      <c r="L193" s="168"/>
      <c r="M193" s="166"/>
      <c r="N193" s="166"/>
      <c r="O193" s="166"/>
      <c r="P193" s="180"/>
      <c r="Q193" s="190"/>
      <c r="R193" s="190"/>
      <c r="S193" s="191"/>
      <c r="T193" s="191"/>
      <c r="U193" s="191"/>
      <c r="V193" s="192"/>
      <c r="W193" s="193">
        <f t="shared" si="5"/>
        <v>0</v>
      </c>
    </row>
    <row r="194" spans="1:23" s="172" customFormat="1" ht="15" thickBot="1" x14ac:dyDescent="0.4">
      <c r="A194" s="164" t="s">
        <v>20</v>
      </c>
      <c r="B194" s="165">
        <v>46235</v>
      </c>
      <c r="C194" s="166" t="s">
        <v>68</v>
      </c>
      <c r="D194" s="166" t="s">
        <v>46</v>
      </c>
      <c r="E194" s="166" t="s">
        <v>23</v>
      </c>
      <c r="F194" s="167" t="s">
        <v>47</v>
      </c>
      <c r="G194" s="167">
        <v>127392</v>
      </c>
      <c r="H194" s="167">
        <v>0</v>
      </c>
      <c r="I194" s="166"/>
      <c r="J194" s="166"/>
      <c r="K194" s="194"/>
      <c r="L194" s="169"/>
      <c r="M194" s="166"/>
      <c r="N194" s="195"/>
      <c r="O194" s="195"/>
      <c r="P194" s="195"/>
      <c r="Q194" s="195"/>
      <c r="R194" s="166"/>
      <c r="S194" s="195"/>
      <c r="T194" s="166"/>
      <c r="U194" s="166"/>
      <c r="V194" s="196"/>
      <c r="W194" s="162">
        <f t="shared" si="5"/>
        <v>0</v>
      </c>
    </row>
    <row r="195" spans="1:23" s="172" customFormat="1" ht="15" thickBot="1" x14ac:dyDescent="0.4">
      <c r="A195" s="164" t="s">
        <v>20</v>
      </c>
      <c r="B195" s="165">
        <v>46235</v>
      </c>
      <c r="C195" s="166" t="s">
        <v>49</v>
      </c>
      <c r="D195" s="166" t="s">
        <v>46</v>
      </c>
      <c r="E195" s="166" t="s">
        <v>23</v>
      </c>
      <c r="F195" s="167" t="s">
        <v>47</v>
      </c>
      <c r="G195" s="167">
        <v>14000</v>
      </c>
      <c r="H195" s="167">
        <v>0</v>
      </c>
      <c r="I195" s="166"/>
      <c r="J195" s="166"/>
      <c r="K195" s="194"/>
      <c r="L195" s="169"/>
      <c r="M195" s="166"/>
      <c r="N195" s="166"/>
      <c r="O195" s="166"/>
      <c r="P195" s="166"/>
      <c r="Q195" s="195"/>
      <c r="R195" s="166"/>
      <c r="S195" s="195"/>
      <c r="T195" s="195"/>
      <c r="U195" s="195"/>
      <c r="V195" s="197"/>
      <c r="W195" s="162">
        <f t="shared" si="5"/>
        <v>0</v>
      </c>
    </row>
    <row r="196" spans="1:23" s="206" customFormat="1" ht="15" thickBot="1" x14ac:dyDescent="0.4">
      <c r="A196" s="198" t="s">
        <v>20</v>
      </c>
      <c r="B196" s="199">
        <v>46235</v>
      </c>
      <c r="C196" s="200" t="s">
        <v>50</v>
      </c>
      <c r="D196" s="200" t="s">
        <v>46</v>
      </c>
      <c r="E196" s="200" t="s">
        <v>23</v>
      </c>
      <c r="F196" s="201" t="s">
        <v>47</v>
      </c>
      <c r="G196" s="201">
        <v>15000</v>
      </c>
      <c r="H196" s="201">
        <v>4663</v>
      </c>
      <c r="I196" s="200">
        <v>168037</v>
      </c>
      <c r="J196" s="200"/>
      <c r="K196" s="202">
        <f>105991+850</f>
        <v>106841</v>
      </c>
      <c r="L196" s="203"/>
      <c r="M196" s="200"/>
      <c r="N196" s="200"/>
      <c r="O196" s="200"/>
      <c r="P196" s="200"/>
      <c r="Q196" s="200"/>
      <c r="R196" s="200"/>
      <c r="S196" s="204"/>
      <c r="T196" s="204"/>
      <c r="U196" s="204"/>
      <c r="V196" s="205"/>
      <c r="W196" s="162">
        <f t="shared" si="5"/>
        <v>274878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26FB-3F98-4CA1-B23E-B1D2CAD90884}">
  <dimension ref="B3:O11"/>
  <sheetViews>
    <sheetView showGridLines="0" topLeftCell="A2" zoomScale="80" zoomScaleNormal="80" workbookViewId="0">
      <selection activeCell="C5" sqref="C5"/>
    </sheetView>
  </sheetViews>
  <sheetFormatPr defaultRowHeight="14.5" x14ac:dyDescent="0.35"/>
  <cols>
    <col min="2" max="2" width="18.7265625" bestFit="1" customWidth="1"/>
    <col min="3" max="3" width="12.26953125" bestFit="1" customWidth="1"/>
    <col min="4" max="4" width="7.6328125" bestFit="1" customWidth="1"/>
    <col min="5" max="5" width="6.90625" bestFit="1" customWidth="1"/>
    <col min="6" max="6" width="6.36328125" bestFit="1" customWidth="1"/>
    <col min="7" max="7" width="7.36328125" bestFit="1" customWidth="1"/>
    <col min="8" max="8" width="7.26953125" bestFit="1" customWidth="1"/>
    <col min="9" max="9" width="7.1796875" bestFit="1" customWidth="1"/>
    <col min="10" max="10" width="7.453125" bestFit="1" customWidth="1"/>
    <col min="11" max="11" width="7.36328125" bestFit="1" customWidth="1"/>
    <col min="12" max="12" width="6.90625" bestFit="1" customWidth="1"/>
    <col min="13" max="13" width="7.1796875" bestFit="1" customWidth="1"/>
    <col min="14" max="14" width="7.36328125" bestFit="1" customWidth="1"/>
    <col min="15" max="15" width="9.08984375" bestFit="1" customWidth="1"/>
  </cols>
  <sheetData>
    <row r="3" spans="2:15" x14ac:dyDescent="0.35">
      <c r="B3" s="120" t="s">
        <v>93</v>
      </c>
      <c r="C3" s="121">
        <v>46113</v>
      </c>
      <c r="D3" s="121">
        <v>46143</v>
      </c>
      <c r="E3" s="121">
        <v>46174</v>
      </c>
      <c r="F3" s="121">
        <v>46204</v>
      </c>
      <c r="G3" s="121">
        <v>46235</v>
      </c>
      <c r="H3" s="121">
        <v>46266</v>
      </c>
      <c r="I3" s="121">
        <v>46296</v>
      </c>
      <c r="J3" s="121">
        <v>46327</v>
      </c>
      <c r="K3" s="121">
        <v>46357</v>
      </c>
      <c r="L3" s="121">
        <v>46388</v>
      </c>
      <c r="M3" s="121">
        <v>46419</v>
      </c>
      <c r="N3" s="121">
        <v>46447</v>
      </c>
      <c r="O3" s="122" t="s">
        <v>94</v>
      </c>
    </row>
    <row r="4" spans="2:15" x14ac:dyDescent="0.35">
      <c r="B4" s="123" t="s">
        <v>95</v>
      </c>
      <c r="C4" s="124">
        <v>7.2309999999999999</v>
      </c>
      <c r="D4" s="124">
        <v>7.020999999999999</v>
      </c>
      <c r="E4" s="124">
        <v>7.2449999999999992</v>
      </c>
      <c r="F4" s="124">
        <v>7.4899999999999993</v>
      </c>
      <c r="G4" s="124">
        <v>7.4899999999999993</v>
      </c>
      <c r="H4" s="124">
        <v>7.5319999999999991</v>
      </c>
      <c r="I4" s="124">
        <v>7.9239999999999995</v>
      </c>
      <c r="J4" s="124">
        <v>7.8749999999999991</v>
      </c>
      <c r="K4" s="124">
        <v>8.3089999999999993</v>
      </c>
      <c r="L4" s="124">
        <v>8.4769999999999985</v>
      </c>
      <c r="M4" s="124">
        <v>8.5329999999999995</v>
      </c>
      <c r="N4" s="124">
        <v>9.1209999999999987</v>
      </c>
      <c r="O4" s="124">
        <v>80.777999999999992</v>
      </c>
    </row>
    <row r="5" spans="2:15" x14ac:dyDescent="0.35">
      <c r="B5" s="123" t="s">
        <v>96</v>
      </c>
      <c r="C5" s="124">
        <v>3.0989999999999998</v>
      </c>
      <c r="D5" s="124">
        <v>3.0089999999999999</v>
      </c>
      <c r="E5" s="124">
        <v>3.105</v>
      </c>
      <c r="F5" s="124">
        <v>3.2099999999999995</v>
      </c>
      <c r="G5" s="124">
        <v>3.2099999999999995</v>
      </c>
      <c r="H5" s="124">
        <v>3.2279999999999998</v>
      </c>
      <c r="I5" s="124">
        <v>3.3959999999999999</v>
      </c>
      <c r="J5" s="124">
        <v>3.375</v>
      </c>
      <c r="K5" s="124">
        <v>3.5609999999999995</v>
      </c>
      <c r="L5" s="124">
        <v>3.6329999999999996</v>
      </c>
      <c r="M5" s="124">
        <v>3.6569999999999996</v>
      </c>
      <c r="N5" s="124">
        <v>3.9089999999999998</v>
      </c>
      <c r="O5" s="124">
        <v>53.852000000000004</v>
      </c>
    </row>
    <row r="6" spans="2:15" x14ac:dyDescent="0.35">
      <c r="B6" s="123" t="s">
        <v>97</v>
      </c>
      <c r="C6" s="125">
        <v>10.33</v>
      </c>
      <c r="D6" s="125">
        <v>10.029999999999999</v>
      </c>
      <c r="E6" s="125">
        <v>10.35</v>
      </c>
      <c r="F6" s="125">
        <v>10.7</v>
      </c>
      <c r="G6" s="125">
        <v>10.7</v>
      </c>
      <c r="H6" s="125">
        <v>10.759999999999998</v>
      </c>
      <c r="I6" s="125">
        <v>11.32</v>
      </c>
      <c r="J6" s="125">
        <v>11.25</v>
      </c>
      <c r="K6" s="125">
        <v>11.87</v>
      </c>
      <c r="L6" s="125">
        <v>12.109999999999998</v>
      </c>
      <c r="M6" s="125">
        <v>12.19</v>
      </c>
      <c r="N6" s="125">
        <v>13.029999999999998</v>
      </c>
      <c r="O6" s="125">
        <v>134.63</v>
      </c>
    </row>
    <row r="7" spans="2:15" x14ac:dyDescent="0.35">
      <c r="B7" s="123" t="s">
        <v>98</v>
      </c>
      <c r="C7" s="124">
        <f>C6-2.76</f>
        <v>7.57</v>
      </c>
      <c r="D7" s="124">
        <f t="shared" ref="D7:N7" si="0">D6-2.76</f>
        <v>7.27</v>
      </c>
      <c r="E7" s="124">
        <f t="shared" si="0"/>
        <v>7.59</v>
      </c>
      <c r="F7" s="124">
        <f t="shared" si="0"/>
        <v>7.9399999999999995</v>
      </c>
      <c r="G7" s="124">
        <f t="shared" si="0"/>
        <v>7.9399999999999995</v>
      </c>
      <c r="H7" s="124">
        <f t="shared" si="0"/>
        <v>7.9999999999999982</v>
      </c>
      <c r="I7" s="124">
        <f t="shared" si="0"/>
        <v>8.56</v>
      </c>
      <c r="J7" s="124">
        <f t="shared" si="0"/>
        <v>8.49</v>
      </c>
      <c r="K7" s="124">
        <f t="shared" si="0"/>
        <v>9.11</v>
      </c>
      <c r="L7" s="124">
        <f t="shared" si="0"/>
        <v>9.3499999999999979</v>
      </c>
      <c r="M7" s="124">
        <f t="shared" si="0"/>
        <v>9.43</v>
      </c>
      <c r="N7" s="124">
        <f t="shared" si="0"/>
        <v>10.269999999999998</v>
      </c>
      <c r="O7" s="124">
        <f>SUM(C7:N7)</f>
        <v>101.52</v>
      </c>
    </row>
    <row r="8" spans="2:15" x14ac:dyDescent="0.35">
      <c r="B8" s="123" t="s">
        <v>99</v>
      </c>
      <c r="C8" s="124">
        <v>-0.42565550000000002</v>
      </c>
      <c r="D8" s="124">
        <v>-0.4294943</v>
      </c>
      <c r="E8" s="124">
        <v>-0.46440579999999998</v>
      </c>
      <c r="F8" s="124">
        <v>-0.46296690000000001</v>
      </c>
      <c r="G8" s="126">
        <v>-0.4884442</v>
      </c>
      <c r="H8" s="124">
        <v>-0.51880020000000004</v>
      </c>
      <c r="I8" s="124">
        <v>-0.58379990000000004</v>
      </c>
      <c r="J8" s="124">
        <v>-0.59572409999999998</v>
      </c>
      <c r="K8" s="124">
        <v>-0.63135929999999996</v>
      </c>
      <c r="L8" s="124">
        <v>-0.61687329999999996</v>
      </c>
      <c r="M8" s="124">
        <v>-0.61159669999999999</v>
      </c>
      <c r="N8" s="124">
        <v>-0.58753520000000004</v>
      </c>
      <c r="O8" s="124">
        <f>SUM(C8:N8)</f>
        <v>-6.4166553999999998</v>
      </c>
    </row>
    <row r="9" spans="2:15" x14ac:dyDescent="0.35">
      <c r="B9" s="127" t="s">
        <v>100</v>
      </c>
      <c r="C9" s="128">
        <f>C7+C8</f>
        <v>7.1443444999999999</v>
      </c>
      <c r="D9" s="128">
        <f t="shared" ref="D9:O9" si="1">D7+D8</f>
        <v>6.8405056999999996</v>
      </c>
      <c r="E9" s="128">
        <f t="shared" si="1"/>
        <v>7.1255942000000001</v>
      </c>
      <c r="F9" s="128">
        <f t="shared" si="1"/>
        <v>7.4770330999999999</v>
      </c>
      <c r="G9" s="128">
        <f t="shared" si="1"/>
        <v>7.4515557999999995</v>
      </c>
      <c r="H9" s="128">
        <f t="shared" si="1"/>
        <v>7.481199799999998</v>
      </c>
      <c r="I9" s="128">
        <f t="shared" si="1"/>
        <v>7.9762001000000007</v>
      </c>
      <c r="J9" s="128">
        <f t="shared" si="1"/>
        <v>7.8942759000000002</v>
      </c>
      <c r="K9" s="128">
        <f t="shared" si="1"/>
        <v>8.4786406999999997</v>
      </c>
      <c r="L9" s="128">
        <f t="shared" si="1"/>
        <v>8.7331266999999979</v>
      </c>
      <c r="M9" s="128">
        <f t="shared" si="1"/>
        <v>8.8184032999999999</v>
      </c>
      <c r="N9" s="128">
        <f t="shared" si="1"/>
        <v>9.6824647999999982</v>
      </c>
      <c r="O9" s="128">
        <f t="shared" si="1"/>
        <v>95.1033446</v>
      </c>
    </row>
    <row r="10" spans="2:15" x14ac:dyDescent="0.35">
      <c r="B10" s="132" t="s">
        <v>101</v>
      </c>
      <c r="C10" s="131">
        <v>5.62</v>
      </c>
      <c r="D10" s="131">
        <v>5.54</v>
      </c>
      <c r="E10" s="134">
        <v>5.9</v>
      </c>
      <c r="F10" s="131">
        <v>5.72</v>
      </c>
      <c r="G10" s="131"/>
      <c r="H10" s="131"/>
      <c r="I10" s="131"/>
      <c r="J10" s="131"/>
      <c r="K10" s="131"/>
      <c r="L10" s="131"/>
      <c r="M10" s="131"/>
      <c r="N10" s="131"/>
      <c r="O10" s="131"/>
    </row>
    <row r="11" spans="2:15" x14ac:dyDescent="0.35">
      <c r="C11" s="133">
        <f>C9-C10</f>
        <v>1.5243444999999998</v>
      </c>
      <c r="D11" s="133">
        <f t="shared" ref="D11:F11" si="2">D9-D10</f>
        <v>1.3005056999999995</v>
      </c>
      <c r="E11" s="133">
        <f t="shared" si="2"/>
        <v>1.2255941999999997</v>
      </c>
      <c r="F11" s="133">
        <f t="shared" si="2"/>
        <v>1.7570331000000001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07A8-70E6-4197-AE88-763279D76946}">
  <dimension ref="A1:G31"/>
  <sheetViews>
    <sheetView showGridLines="0" workbookViewId="0">
      <selection activeCell="C11" sqref="C11"/>
    </sheetView>
  </sheetViews>
  <sheetFormatPr defaultRowHeight="14.5" x14ac:dyDescent="0.35"/>
  <cols>
    <col min="2" max="2" width="27.90625" bestFit="1" customWidth="1"/>
    <col min="3" max="3" width="10.54296875" bestFit="1" customWidth="1"/>
    <col min="5" max="5" width="10.1796875" bestFit="1" customWidth="1"/>
    <col min="6" max="6" width="20.54296875" style="153" customWidth="1"/>
    <col min="7" max="7" width="8.7265625" style="135"/>
  </cols>
  <sheetData>
    <row r="1" spans="1:7" x14ac:dyDescent="0.35">
      <c r="A1" s="142" t="s">
        <v>5</v>
      </c>
      <c r="B1" s="142" t="s">
        <v>106</v>
      </c>
      <c r="C1" s="142" t="s">
        <v>107</v>
      </c>
      <c r="D1" s="142" t="s">
        <v>105</v>
      </c>
      <c r="E1" s="137" t="s">
        <v>108</v>
      </c>
      <c r="F1" s="147" t="s">
        <v>109</v>
      </c>
      <c r="G1" s="137" t="s">
        <v>110</v>
      </c>
    </row>
    <row r="2" spans="1:7" x14ac:dyDescent="0.35">
      <c r="A2" s="136" t="s">
        <v>47</v>
      </c>
      <c r="B2" s="136" t="s">
        <v>29</v>
      </c>
      <c r="C2" s="136" t="s">
        <v>46</v>
      </c>
      <c r="D2" s="143">
        <v>46283</v>
      </c>
      <c r="E2" s="144" t="s">
        <v>117</v>
      </c>
      <c r="F2" s="146" t="s">
        <v>119</v>
      </c>
      <c r="G2" s="154" t="s">
        <v>118</v>
      </c>
    </row>
    <row r="3" spans="1:7" ht="14.5" customHeight="1" x14ac:dyDescent="0.35">
      <c r="A3" s="136" t="s">
        <v>47</v>
      </c>
      <c r="B3" s="136" t="s">
        <v>49</v>
      </c>
      <c r="C3" s="136" t="s">
        <v>46</v>
      </c>
      <c r="D3" s="138">
        <v>46280</v>
      </c>
      <c r="E3" s="119" t="s">
        <v>116</v>
      </c>
      <c r="F3" s="148">
        <v>0.45833333333333331</v>
      </c>
      <c r="G3" s="119" t="s">
        <v>112</v>
      </c>
    </row>
    <row r="4" spans="1:7" ht="14.5" customHeight="1" x14ac:dyDescent="0.35">
      <c r="A4" s="136" t="s">
        <v>47</v>
      </c>
      <c r="B4" s="136" t="s">
        <v>50</v>
      </c>
      <c r="C4" s="136" t="s">
        <v>46</v>
      </c>
      <c r="D4" s="138">
        <v>46280</v>
      </c>
      <c r="E4" s="119" t="s">
        <v>116</v>
      </c>
      <c r="F4" s="145"/>
      <c r="G4" s="119" t="s">
        <v>112</v>
      </c>
    </row>
    <row r="5" spans="1:7" ht="14.5" customHeight="1" x14ac:dyDescent="0.35">
      <c r="A5" s="136" t="s">
        <v>42</v>
      </c>
      <c r="B5" s="136" t="s">
        <v>21</v>
      </c>
      <c r="C5" s="136" t="s">
        <v>22</v>
      </c>
      <c r="D5" s="138">
        <v>46279</v>
      </c>
      <c r="E5" s="119" t="s">
        <v>111</v>
      </c>
      <c r="F5" s="149">
        <v>0.625</v>
      </c>
      <c r="G5" s="119" t="s">
        <v>113</v>
      </c>
    </row>
    <row r="6" spans="1:7" ht="14.5" customHeight="1" x14ac:dyDescent="0.35">
      <c r="A6" s="136" t="s">
        <v>42</v>
      </c>
      <c r="B6" s="139" t="s">
        <v>26</v>
      </c>
      <c r="C6" s="139" t="s">
        <v>22</v>
      </c>
      <c r="D6" s="140">
        <v>46279</v>
      </c>
      <c r="E6" s="141" t="s">
        <v>111</v>
      </c>
      <c r="F6" s="146"/>
      <c r="G6" s="119" t="s">
        <v>113</v>
      </c>
    </row>
    <row r="7" spans="1:7" ht="14.5" customHeight="1" x14ac:dyDescent="0.35">
      <c r="A7" s="136" t="s">
        <v>42</v>
      </c>
      <c r="B7" s="136" t="s">
        <v>28</v>
      </c>
      <c r="C7" s="136" t="s">
        <v>22</v>
      </c>
      <c r="D7" s="138">
        <v>46279</v>
      </c>
      <c r="E7" s="119" t="s">
        <v>111</v>
      </c>
      <c r="F7" s="146"/>
      <c r="G7" s="119" t="s">
        <v>113</v>
      </c>
    </row>
    <row r="8" spans="1:7" x14ac:dyDescent="0.35">
      <c r="A8" s="136" t="s">
        <v>42</v>
      </c>
      <c r="B8" s="136" t="s">
        <v>29</v>
      </c>
      <c r="C8" s="136" t="s">
        <v>22</v>
      </c>
      <c r="D8" s="143">
        <v>46283</v>
      </c>
      <c r="E8" s="144" t="s">
        <v>117</v>
      </c>
      <c r="F8" s="146"/>
      <c r="G8" s="154" t="s">
        <v>118</v>
      </c>
    </row>
    <row r="9" spans="1:7" ht="14.5" customHeight="1" x14ac:dyDescent="0.35">
      <c r="A9" s="136" t="s">
        <v>42</v>
      </c>
      <c r="B9" s="136" t="s">
        <v>33</v>
      </c>
      <c r="C9" s="136" t="s">
        <v>34</v>
      </c>
      <c r="D9" s="129"/>
      <c r="E9" s="129"/>
      <c r="F9" s="150"/>
      <c r="G9" s="130"/>
    </row>
    <row r="10" spans="1:7" ht="14.5" customHeight="1" x14ac:dyDescent="0.35">
      <c r="A10" s="136" t="s">
        <v>42</v>
      </c>
      <c r="B10" s="136" t="s">
        <v>89</v>
      </c>
      <c r="C10" s="136" t="s">
        <v>37</v>
      </c>
      <c r="D10" s="129"/>
      <c r="E10" s="129"/>
      <c r="F10" s="151"/>
      <c r="G10" s="130"/>
    </row>
    <row r="11" spans="1:7" ht="14.5" customHeight="1" x14ac:dyDescent="0.35">
      <c r="A11" s="136" t="s">
        <v>42</v>
      </c>
      <c r="B11" s="136" t="s">
        <v>39</v>
      </c>
      <c r="C11" s="136" t="s">
        <v>37</v>
      </c>
      <c r="D11" s="129"/>
      <c r="E11" s="129"/>
      <c r="F11" s="151"/>
      <c r="G11" s="130"/>
    </row>
    <row r="12" spans="1:7" ht="14.5" customHeight="1" x14ac:dyDescent="0.35">
      <c r="A12" s="136" t="s">
        <v>42</v>
      </c>
      <c r="B12" s="136" t="s">
        <v>40</v>
      </c>
      <c r="C12" s="136" t="s">
        <v>37</v>
      </c>
      <c r="D12" s="129"/>
      <c r="E12" s="129"/>
      <c r="F12" s="151"/>
      <c r="G12" s="130"/>
    </row>
    <row r="13" spans="1:7" ht="14.5" customHeight="1" x14ac:dyDescent="0.35">
      <c r="A13" s="136" t="s">
        <v>42</v>
      </c>
      <c r="B13" s="136" t="s">
        <v>75</v>
      </c>
      <c r="C13" s="136" t="s">
        <v>76</v>
      </c>
      <c r="D13" s="129"/>
      <c r="E13" s="129"/>
      <c r="F13" s="151"/>
      <c r="G13" s="130"/>
    </row>
    <row r="14" spans="1:7" ht="14.5" customHeight="1" x14ac:dyDescent="0.35">
      <c r="A14" s="136" t="s">
        <v>24</v>
      </c>
      <c r="B14" s="136" t="s">
        <v>33</v>
      </c>
      <c r="C14" s="136" t="s">
        <v>41</v>
      </c>
      <c r="D14" s="138">
        <v>46281</v>
      </c>
      <c r="E14" s="119" t="s">
        <v>116</v>
      </c>
      <c r="F14" s="207">
        <v>0.58333333333333337</v>
      </c>
      <c r="G14" s="119" t="s">
        <v>115</v>
      </c>
    </row>
    <row r="15" spans="1:7" ht="14.5" customHeight="1" x14ac:dyDescent="0.35">
      <c r="A15" s="136" t="s">
        <v>24</v>
      </c>
      <c r="B15" s="136" t="s">
        <v>33</v>
      </c>
      <c r="C15" s="136" t="s">
        <v>43</v>
      </c>
      <c r="D15" s="138">
        <v>46281</v>
      </c>
      <c r="E15" s="119" t="s">
        <v>116</v>
      </c>
      <c r="F15" s="210"/>
      <c r="G15" s="119" t="s">
        <v>115</v>
      </c>
    </row>
    <row r="16" spans="1:7" ht="14.5" customHeight="1" x14ac:dyDescent="0.35">
      <c r="A16" s="136" t="s">
        <v>24</v>
      </c>
      <c r="B16" s="136" t="s">
        <v>44</v>
      </c>
      <c r="C16" s="136" t="s">
        <v>45</v>
      </c>
      <c r="D16" s="129"/>
      <c r="E16" s="129"/>
      <c r="F16" s="151"/>
      <c r="G16" s="130"/>
    </row>
    <row r="17" spans="1:7" ht="14.5" customHeight="1" x14ac:dyDescent="0.35">
      <c r="A17" s="136" t="s">
        <v>63</v>
      </c>
      <c r="B17" s="136" t="s">
        <v>39</v>
      </c>
      <c r="C17" s="136" t="s">
        <v>66</v>
      </c>
      <c r="D17" s="129"/>
      <c r="E17" s="129"/>
      <c r="F17" s="151"/>
      <c r="G17" s="130"/>
    </row>
    <row r="18" spans="1:7" ht="14.5" customHeight="1" x14ac:dyDescent="0.35">
      <c r="A18" s="136" t="s">
        <v>63</v>
      </c>
      <c r="B18" s="136" t="s">
        <v>68</v>
      </c>
      <c r="C18" s="136" t="s">
        <v>69</v>
      </c>
      <c r="D18" s="129"/>
      <c r="E18" s="129"/>
      <c r="F18" s="151"/>
      <c r="G18" s="130"/>
    </row>
    <row r="19" spans="1:7" ht="14.5" customHeight="1" x14ac:dyDescent="0.35">
      <c r="A19" s="136" t="s">
        <v>63</v>
      </c>
      <c r="B19" s="136" t="s">
        <v>70</v>
      </c>
      <c r="C19" s="136" t="s">
        <v>71</v>
      </c>
      <c r="D19" s="129"/>
      <c r="E19" s="129"/>
      <c r="F19" s="151"/>
      <c r="G19" s="130"/>
    </row>
    <row r="20" spans="1:7" ht="14.5" customHeight="1" x14ac:dyDescent="0.35">
      <c r="A20" s="136" t="s">
        <v>63</v>
      </c>
      <c r="B20" s="136" t="s">
        <v>85</v>
      </c>
      <c r="C20" s="136" t="s">
        <v>72</v>
      </c>
      <c r="D20" s="129"/>
      <c r="E20" s="129"/>
      <c r="F20" s="151"/>
      <c r="G20" s="130"/>
    </row>
    <row r="21" spans="1:7" ht="14.5" customHeight="1" x14ac:dyDescent="0.35">
      <c r="A21" s="136" t="s">
        <v>51</v>
      </c>
      <c r="B21" s="136" t="s">
        <v>85</v>
      </c>
      <c r="C21" s="136" t="s">
        <v>82</v>
      </c>
      <c r="D21" s="129"/>
      <c r="E21" s="129"/>
      <c r="F21" s="152"/>
      <c r="G21" s="130"/>
    </row>
    <row r="22" spans="1:7" x14ac:dyDescent="0.35">
      <c r="A22" s="136" t="s">
        <v>51</v>
      </c>
      <c r="B22" s="136" t="s">
        <v>29</v>
      </c>
      <c r="C22" s="136" t="s">
        <v>80</v>
      </c>
      <c r="D22" s="143">
        <v>46283</v>
      </c>
      <c r="E22" s="144" t="s">
        <v>117</v>
      </c>
      <c r="F22" s="145"/>
      <c r="G22" s="154" t="s">
        <v>118</v>
      </c>
    </row>
    <row r="23" spans="1:7" x14ac:dyDescent="0.35">
      <c r="A23" s="136" t="s">
        <v>51</v>
      </c>
      <c r="B23" s="136" t="s">
        <v>53</v>
      </c>
      <c r="C23" s="136" t="s">
        <v>80</v>
      </c>
      <c r="D23" s="129"/>
      <c r="E23" s="129"/>
      <c r="F23" s="150"/>
      <c r="G23" s="130"/>
    </row>
    <row r="24" spans="1:7" x14ac:dyDescent="0.35">
      <c r="A24" s="136" t="s">
        <v>51</v>
      </c>
      <c r="B24" s="136" t="s">
        <v>54</v>
      </c>
      <c r="C24" s="136" t="s">
        <v>81</v>
      </c>
      <c r="D24" s="129"/>
      <c r="E24" s="129"/>
      <c r="F24" s="151"/>
      <c r="G24" s="130"/>
    </row>
    <row r="25" spans="1:7" x14ac:dyDescent="0.35">
      <c r="A25" s="136" t="s">
        <v>51</v>
      </c>
      <c r="B25" s="136" t="s">
        <v>56</v>
      </c>
      <c r="C25" s="136" t="s">
        <v>81</v>
      </c>
      <c r="D25" s="129"/>
      <c r="E25" s="129"/>
      <c r="F25" s="151"/>
      <c r="G25" s="130"/>
    </row>
    <row r="26" spans="1:7" x14ac:dyDescent="0.35">
      <c r="A26" s="136" t="s">
        <v>51</v>
      </c>
      <c r="B26" s="136" t="s">
        <v>103</v>
      </c>
      <c r="C26" s="136" t="s">
        <v>81</v>
      </c>
      <c r="D26" s="129"/>
      <c r="E26" s="129"/>
      <c r="F26" s="151"/>
      <c r="G26" s="130"/>
    </row>
    <row r="27" spans="1:7" x14ac:dyDescent="0.35">
      <c r="A27" s="136" t="s">
        <v>51</v>
      </c>
      <c r="B27" s="136" t="s">
        <v>39</v>
      </c>
      <c r="C27" s="136" t="s">
        <v>81</v>
      </c>
      <c r="D27" s="129"/>
      <c r="E27" s="129"/>
      <c r="F27" s="151"/>
      <c r="G27" s="130"/>
    </row>
    <row r="28" spans="1:7" x14ac:dyDescent="0.35">
      <c r="A28" s="136" t="s">
        <v>51</v>
      </c>
      <c r="B28" s="136" t="s">
        <v>57</v>
      </c>
      <c r="C28" s="136" t="s">
        <v>84</v>
      </c>
      <c r="D28" s="129"/>
      <c r="E28" s="129"/>
      <c r="F28" s="151"/>
      <c r="G28" s="130"/>
    </row>
    <row r="29" spans="1:7" x14ac:dyDescent="0.35">
      <c r="A29" s="136" t="s">
        <v>51</v>
      </c>
      <c r="B29" s="139" t="s">
        <v>33</v>
      </c>
      <c r="C29" s="139" t="s">
        <v>84</v>
      </c>
      <c r="D29" s="140">
        <v>46280</v>
      </c>
      <c r="E29" s="141" t="s">
        <v>114</v>
      </c>
      <c r="F29" s="207">
        <v>0.45833333333333331</v>
      </c>
      <c r="G29" s="130" t="s">
        <v>115</v>
      </c>
    </row>
    <row r="30" spans="1:7" x14ac:dyDescent="0.35">
      <c r="A30" s="136" t="s">
        <v>51</v>
      </c>
      <c r="B30" s="139" t="s">
        <v>33</v>
      </c>
      <c r="C30" s="139" t="s">
        <v>59</v>
      </c>
      <c r="D30" s="140">
        <v>46280</v>
      </c>
      <c r="E30" s="141" t="s">
        <v>114</v>
      </c>
      <c r="F30" s="208"/>
      <c r="G30" s="130" t="s">
        <v>115</v>
      </c>
    </row>
    <row r="31" spans="1:7" x14ac:dyDescent="0.35">
      <c r="A31" s="136" t="s">
        <v>51</v>
      </c>
      <c r="B31" s="139" t="s">
        <v>33</v>
      </c>
      <c r="C31" s="139" t="s">
        <v>60</v>
      </c>
      <c r="D31" s="140">
        <v>46280</v>
      </c>
      <c r="E31" s="141" t="s">
        <v>114</v>
      </c>
      <c r="F31" s="209"/>
      <c r="G31" s="130" t="s">
        <v>115</v>
      </c>
    </row>
  </sheetData>
  <mergeCells count="2">
    <mergeCell ref="F29:F31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2026-27</vt:lpstr>
      <vt:lpstr>Budget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Das (W&amp;D)</dc:creator>
  <cp:lastModifiedBy>Karishma Das (W&amp;D)</cp:lastModifiedBy>
  <dcterms:created xsi:type="dcterms:W3CDTF">2026-06-23T06:18:53Z</dcterms:created>
  <dcterms:modified xsi:type="dcterms:W3CDTF">2026-09-18T06:44:07Z</dcterms:modified>
</cp:coreProperties>
</file>