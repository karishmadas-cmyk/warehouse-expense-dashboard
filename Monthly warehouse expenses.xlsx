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arishma.das\Documents\CJ DARCL\Operations\Monthly Opex Expenses\"/>
    </mc:Choice>
  </mc:AlternateContent>
  <xr:revisionPtr revIDLastSave="0" documentId="13_ncr:1_{6145AC09-020F-47BF-991D-246E0D8AAE9F}" xr6:coauthVersionLast="47" xr6:coauthVersionMax="47" xr10:uidLastSave="{00000000-0000-0000-0000-000000000000}"/>
  <bookViews>
    <workbookView xWindow="-110" yWindow="-110" windowWidth="19420" windowHeight="10300" xr2:uid="{AD753405-8938-40ED-BF9C-A6CE89EB6A85}"/>
  </bookViews>
  <sheets>
    <sheet name="2026-27" sheetId="1" r:id="rId1"/>
    <sheet name="Budget" sheetId="2" r:id="rId2"/>
  </sheets>
  <definedNames>
    <definedName name="_xlnm._FilterDatabase" localSheetId="0" hidden="1">'2026-27'!$A$2:$U$234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21" i="1" l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I14" i="1"/>
  <c r="M49" i="1"/>
  <c r="U118" i="1"/>
  <c r="U173" i="1"/>
  <c r="U82" i="1"/>
  <c r="R146" i="1"/>
  <c r="R147" i="1"/>
  <c r="R148" i="1"/>
  <c r="R145" i="1"/>
  <c r="U46" i="1"/>
  <c r="R43" i="1"/>
  <c r="U71" i="1"/>
  <c r="U53" i="1"/>
  <c r="K96" i="1"/>
  <c r="G11" i="2"/>
  <c r="U4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4" i="1"/>
  <c r="U45" i="1"/>
  <c r="U47" i="1"/>
  <c r="U48" i="1"/>
  <c r="U50" i="1"/>
  <c r="U51" i="1"/>
  <c r="U52" i="1"/>
  <c r="U54" i="1"/>
  <c r="U55" i="1"/>
  <c r="U57" i="1"/>
  <c r="U58" i="1"/>
  <c r="U59" i="1"/>
  <c r="U60" i="1"/>
  <c r="U62" i="1"/>
  <c r="U63" i="1"/>
  <c r="U64" i="1"/>
  <c r="U65" i="1"/>
  <c r="U66" i="1"/>
  <c r="U67" i="1"/>
  <c r="U68" i="1"/>
  <c r="U69" i="1"/>
  <c r="U70" i="1"/>
  <c r="U72" i="1"/>
  <c r="U73" i="1"/>
  <c r="U74" i="1"/>
  <c r="U75" i="1"/>
  <c r="U76" i="1"/>
  <c r="U77" i="1"/>
  <c r="U78" i="1"/>
  <c r="U79" i="1"/>
  <c r="U80" i="1"/>
  <c r="U81" i="1"/>
  <c r="U83" i="1"/>
  <c r="U84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9" i="1"/>
  <c r="U120" i="1"/>
  <c r="U158" i="1"/>
  <c r="U159" i="1"/>
  <c r="U160" i="1"/>
  <c r="U161" i="1"/>
  <c r="U162" i="1"/>
  <c r="U163" i="1"/>
  <c r="U164" i="1"/>
  <c r="U165" i="1"/>
  <c r="U166" i="1"/>
  <c r="U168" i="1"/>
  <c r="U169" i="1"/>
  <c r="U170" i="1"/>
  <c r="U172" i="1"/>
  <c r="U174" i="1"/>
  <c r="U175" i="1"/>
  <c r="U176" i="1"/>
  <c r="U180" i="1"/>
  <c r="U181" i="1"/>
  <c r="U182" i="1"/>
  <c r="U183" i="1"/>
  <c r="U184" i="1"/>
  <c r="U185" i="1"/>
  <c r="U192" i="1"/>
  <c r="U193" i="1"/>
  <c r="U194" i="1"/>
  <c r="U195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30" i="1"/>
  <c r="U231" i="1"/>
  <c r="U232" i="1"/>
  <c r="U233" i="1"/>
  <c r="U234" i="1"/>
  <c r="U3" i="1"/>
  <c r="U96" i="1" l="1"/>
  <c r="M188" i="1"/>
  <c r="M229" i="1"/>
  <c r="M186" i="1"/>
  <c r="U186" i="1" s="1"/>
  <c r="M187" i="1"/>
  <c r="U187" i="1" s="1"/>
  <c r="M171" i="1"/>
  <c r="U171" i="1" s="1"/>
  <c r="P179" i="1"/>
  <c r="U179" i="1" s="1"/>
  <c r="P178" i="1"/>
  <c r="P177" i="1"/>
  <c r="U177" i="1" s="1"/>
  <c r="R227" i="1"/>
  <c r="U227" i="1" s="1"/>
  <c r="R228" i="1"/>
  <c r="U228" i="1" s="1"/>
  <c r="R229" i="1"/>
  <c r="R226" i="1"/>
  <c r="U226" i="1" s="1"/>
  <c r="R189" i="1"/>
  <c r="R190" i="1"/>
  <c r="R191" i="1"/>
  <c r="U191" i="1" s="1"/>
  <c r="R188" i="1"/>
  <c r="K178" i="1"/>
  <c r="K167" i="1"/>
  <c r="U167" i="1" s="1"/>
  <c r="K140" i="1"/>
  <c r="U229" i="1" l="1"/>
  <c r="U178" i="1"/>
  <c r="J86" i="1"/>
  <c r="U86" i="1" s="1"/>
  <c r="H189" i="1" l="1"/>
  <c r="U189" i="1" s="1"/>
  <c r="H190" i="1"/>
  <c r="U190" i="1" s="1"/>
  <c r="H188" i="1"/>
  <c r="U188" i="1" s="1"/>
  <c r="I196" i="1" l="1"/>
  <c r="U196" i="1" s="1"/>
  <c r="I157" i="1"/>
  <c r="I85" i="1"/>
  <c r="U85" i="1" s="1"/>
  <c r="I61" i="1"/>
  <c r="U61" i="1" s="1"/>
  <c r="I29" i="1"/>
  <c r="U29" i="1" s="1"/>
  <c r="F11" i="2" l="1"/>
  <c r="J43" i="1" l="1"/>
  <c r="U43" i="1" s="1"/>
  <c r="U49" i="1"/>
  <c r="M10" i="1"/>
  <c r="U10" i="1" s="1"/>
  <c r="D11" i="2" l="1"/>
  <c r="E11" i="2"/>
  <c r="C11" i="2"/>
  <c r="N9" i="2"/>
  <c r="M9" i="2"/>
  <c r="L9" i="2"/>
  <c r="G9" i="2"/>
  <c r="F9" i="2"/>
  <c r="E9" i="2"/>
  <c r="D9" i="2"/>
  <c r="O8" i="2"/>
  <c r="N7" i="2"/>
  <c r="M7" i="2"/>
  <c r="L7" i="2"/>
  <c r="K7" i="2"/>
  <c r="K9" i="2" s="1"/>
  <c r="J7" i="2"/>
  <c r="J9" i="2" s="1"/>
  <c r="I7" i="2"/>
  <c r="I9" i="2" s="1"/>
  <c r="H7" i="2"/>
  <c r="H9" i="2" s="1"/>
  <c r="G7" i="2"/>
  <c r="F7" i="2"/>
  <c r="E7" i="2"/>
  <c r="D7" i="2"/>
  <c r="C7" i="2"/>
  <c r="C9" i="2" s="1"/>
  <c r="O7" i="2" l="1"/>
  <c r="O9" i="2" s="1"/>
  <c r="H154" i="1" l="1"/>
  <c r="M56" i="1" l="1"/>
  <c r="U56" i="1" s="1"/>
  <c r="H1" i="1" l="1"/>
  <c r="I1" i="1"/>
  <c r="K1" i="1"/>
  <c r="L1" i="1"/>
  <c r="M1" i="1"/>
  <c r="N1" i="1"/>
  <c r="O1" i="1"/>
  <c r="R1" i="1"/>
  <c r="S1" i="1"/>
  <c r="J1" i="1" l="1"/>
  <c r="G1" i="1"/>
  <c r="P1" i="1"/>
  <c r="U1" i="1"/>
  <c r="Q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Karishma Das</author>
  </authors>
  <commentList>
    <comment ref="S39" authorId="0" shapeId="0" xr:uid="{93C47FC0-2E7A-4761-A1A6-E6E569A76326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
</t>
        </r>
      </text>
    </comment>
    <comment ref="S79" authorId="0" shapeId="0" xr:uid="{E4E0562C-EAD4-496C-B28A-AC6FC121AAA2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  <comment ref="S107" authorId="0" shapeId="0" xr:uid="{DDDB4899-A99A-45D2-8C82-31984F2DF571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</commentList>
</comments>
</file>

<file path=xl/sharedStrings.xml><?xml version="1.0" encoding="utf-8"?>
<sst xmlns="http://schemas.openxmlformats.org/spreadsheetml/2006/main" count="1227" uniqueCount="115">
  <si>
    <t>FY</t>
  </si>
  <si>
    <t>Month</t>
  </si>
  <si>
    <t>Customer</t>
  </si>
  <si>
    <t>Locations</t>
  </si>
  <si>
    <t>WH Type</t>
  </si>
  <si>
    <t>Zone</t>
  </si>
  <si>
    <t>Manpower Outsource</t>
  </si>
  <si>
    <t>Security Outsource</t>
  </si>
  <si>
    <t>Electricity</t>
  </si>
  <si>
    <t>Tea</t>
  </si>
  <si>
    <t>Water</t>
  </si>
  <si>
    <t>Printing &amp; Stationery</t>
  </si>
  <si>
    <t>Petty Cash</t>
  </si>
  <si>
    <t>DG</t>
  </si>
  <si>
    <t>Rental Printer</t>
  </si>
  <si>
    <t>Internet expenses</t>
  </si>
  <si>
    <t>Pest Control</t>
  </si>
  <si>
    <t>Other expenses</t>
  </si>
  <si>
    <t>Remarks</t>
  </si>
  <si>
    <t>Total Expenses</t>
  </si>
  <si>
    <t>2026-27</t>
  </si>
  <si>
    <t>ATOMY ENTERPRISE</t>
  </si>
  <si>
    <t>RALIAWAS</t>
  </si>
  <si>
    <t>Multiple</t>
  </si>
  <si>
    <t>NORTH-1</t>
  </si>
  <si>
    <t>Stapping Machine Repair</t>
  </si>
  <si>
    <t>INNSFREE COSMETICS</t>
  </si>
  <si>
    <t>(Earth pit Work)</t>
  </si>
  <si>
    <t>NTN NEI MANUFACTURING</t>
  </si>
  <si>
    <t>CERAGEM INDIA PVT LTD</t>
  </si>
  <si>
    <t>(All AC Repairing)</t>
  </si>
  <si>
    <t>GWALIOR</t>
  </si>
  <si>
    <t>Single</t>
  </si>
  <si>
    <t>MEESHO</t>
  </si>
  <si>
    <t>MUNDKA</t>
  </si>
  <si>
    <t>Washroom Repair</t>
  </si>
  <si>
    <t>JAMALPUR</t>
  </si>
  <si>
    <t>CCTV Camera Installation</t>
  </si>
  <si>
    <t>PROVOGUE</t>
  </si>
  <si>
    <t>BIBO</t>
  </si>
  <si>
    <t>NORTH</t>
  </si>
  <si>
    <t>RAJPURA</t>
  </si>
  <si>
    <t>FDC</t>
  </si>
  <si>
    <t>GHAZIABAD</t>
  </si>
  <si>
    <t>KOLKATA</t>
  </si>
  <si>
    <t>EAST</t>
  </si>
  <si>
    <t>Standafan cover+MTS Baricading+Safety Net,DG Earthing+Dock Leveller Servicing+Auto scrubber machine</t>
  </si>
  <si>
    <t>FURLENCO</t>
  </si>
  <si>
    <t>SHELL</t>
  </si>
  <si>
    <t>WEST</t>
  </si>
  <si>
    <t>Water Tanker bill</t>
  </si>
  <si>
    <t>HYOSUNG CORPORATION</t>
  </si>
  <si>
    <t>CROCS INDIA/ HEY DUDE</t>
  </si>
  <si>
    <t>Garbage Pickup</t>
  </si>
  <si>
    <t>WESTBURY KOMMERCE</t>
  </si>
  <si>
    <t>RELIANCE AGRI</t>
  </si>
  <si>
    <t>HK</t>
  </si>
  <si>
    <t>SURAT-1</t>
  </si>
  <si>
    <t>SURAT-2</t>
  </si>
  <si>
    <t>GLOVIS INDIA</t>
  </si>
  <si>
    <t>ANANTAPUR</t>
  </si>
  <si>
    <t>SOUTH</t>
  </si>
  <si>
    <t>CALICUT</t>
  </si>
  <si>
    <t>CEPHUS TECHNOLOGIES</t>
  </si>
  <si>
    <t>BANGALORE-1</t>
  </si>
  <si>
    <t>SIEMENS GAMESA RENEWABLE ENERGY</t>
  </si>
  <si>
    <t>ABFRL-PANTALOONS</t>
  </si>
  <si>
    <t>BANGALORE-2</t>
  </si>
  <si>
    <t>CEAT</t>
  </si>
  <si>
    <t>CHENNAI</t>
  </si>
  <si>
    <t>HYDERABAD</t>
  </si>
  <si>
    <t>Inverter Repair &amp; DG Recharge</t>
  </si>
  <si>
    <t>Septic Tank Bill</t>
  </si>
  <si>
    <t>MENSA</t>
  </si>
  <si>
    <t>KHAWASPUR</t>
  </si>
  <si>
    <t>Client owned</t>
  </si>
  <si>
    <t>Dinesh Art+Spill Kit Bag+ Electrical Rubber Mat</t>
  </si>
  <si>
    <t>Garbage</t>
  </si>
  <si>
    <t>BHIWANDI-1</t>
  </si>
  <si>
    <t>BHIWANDI-2</t>
  </si>
  <si>
    <t>BHIWANDI-3</t>
  </si>
  <si>
    <t>DISTRIBUTION (PUMA)</t>
  </si>
  <si>
    <t>BHIWANDI-4</t>
  </si>
  <si>
    <t>ROYAL ENFIELD</t>
  </si>
  <si>
    <t>Office AC Gas Testing &amp; Reffling</t>
  </si>
  <si>
    <t>Plumbing Work+Electrical Wire+ACAMC+Anti Fatigue Mate+Diesel Metal Can+Fire AMC</t>
  </si>
  <si>
    <t>FE</t>
  </si>
  <si>
    <t>DISTRIBUTION</t>
  </si>
  <si>
    <t>Fumigation</t>
  </si>
  <si>
    <t>Cold Room AC repaired+ new battery purchase for RT</t>
  </si>
  <si>
    <t>Cold room AC work and Cooler moter reapir</t>
  </si>
  <si>
    <t>Particulars</t>
  </si>
  <si>
    <t>FY 26-27</t>
  </si>
  <si>
    <t>ROI in Cr</t>
  </si>
  <si>
    <t>North In Cr</t>
  </si>
  <si>
    <t>Total in Cr</t>
  </si>
  <si>
    <t>Excluding WH Rent</t>
  </si>
  <si>
    <t>Salary Direct</t>
  </si>
  <si>
    <t>Budget</t>
  </si>
  <si>
    <t>Actual</t>
  </si>
  <si>
    <t>DASNA-1</t>
  </si>
  <si>
    <t>DASNA-2</t>
  </si>
  <si>
    <t>DASNA-3</t>
  </si>
  <si>
    <t>VAS</t>
  </si>
  <si>
    <t>VI-JOHN</t>
  </si>
  <si>
    <t>FLIPKART</t>
  </si>
  <si>
    <t>FARUKHNAGAR</t>
  </si>
  <si>
    <t>dock lane guard+ dock shutter service+ dock leveller 2nd service</t>
  </si>
  <si>
    <t xml:space="preserve">Maintenance, Sewage &amp; Water Bill For Jul'26 </t>
  </si>
  <si>
    <t>RO Repair</t>
  </si>
  <si>
    <t xml:space="preserve"> Sewerage, CAM &amp; Water Consumption Bill #20 Aug'26</t>
  </si>
  <si>
    <t xml:space="preserve"> Sewerage, CAM &amp; Water Consumption Charges </t>
  </si>
  <si>
    <t>Stretch Roll</t>
  </si>
  <si>
    <t>Snacks for visitor</t>
  </si>
  <si>
    <t>LIFELONG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</si>
</sst>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FFFFFF"/>
      <name val="Aptos"/>
      <family val="2"/>
    </font>
    <font>
      <b/>
      <sz val="11"/>
      <color rgb="FFFFFFFF"/>
      <name val="Aptos"/>
      <family val="2"/>
    </font>
    <font>
      <b/>
      <sz val="11"/>
      <color theme="1"/>
      <name val="Aptos"/>
      <family val="2"/>
    </font>
    <font>
      <sz val="6"/>
      <color rgb="FFD4D4D4"/>
      <name val="Consolas"/>
      <family val="3"/>
    </font>
    <font>
      <sz val="6"/>
      <color rgb="FFFFFFFF"/>
      <name val="Consolas"/>
      <family val="3"/>
    </font>
    <font>
      <sz val="6"/>
      <color rgb="FF569CD6"/>
      <name val="Consolas"/>
      <family val="3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9F8CA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9">
    <xf numFmtId="0" fontId="0" fillId="0" borderId="0" xfId="0"/>
    <xf numFmtId="0" fontId="4" fillId="0" borderId="0" xfId="0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" fontId="5" fillId="0" borderId="0" xfId="1" applyNumberFormat="1" applyFont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7" fontId="3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2" fillId="4" borderId="4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17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7" fontId="3" fillId="4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/>
    </xf>
    <xf numFmtId="17" fontId="3" fillId="5" borderId="4" xfId="0" applyNumberFormat="1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" fontId="3" fillId="5" borderId="4" xfId="0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vertical="center"/>
    </xf>
    <xf numFmtId="0" fontId="3" fillId="5" borderId="5" xfId="0" applyFont="1" applyFill="1" applyBorder="1" applyAlignment="1">
      <alignment horizontal="center" vertical="center"/>
    </xf>
    <xf numFmtId="17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3" fontId="3" fillId="5" borderId="1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7" fontId="3" fillId="5" borderId="7" xfId="0" applyNumberFormat="1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1" fontId="3" fillId="5" borderId="7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vertical="center"/>
    </xf>
    <xf numFmtId="0" fontId="3" fillId="6" borderId="3" xfId="0" applyFont="1" applyFill="1" applyBorder="1" applyAlignment="1">
      <alignment horizontal="center" vertical="center"/>
    </xf>
    <xf numFmtId="17" fontId="3" fillId="6" borderId="4" xfId="0" applyNumberFormat="1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center" vertical="center"/>
    </xf>
    <xf numFmtId="17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vertical="center"/>
    </xf>
    <xf numFmtId="3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6" xfId="0" applyFont="1" applyFill="1" applyBorder="1" applyAlignment="1">
      <alignment horizontal="center" vertical="center"/>
    </xf>
    <xf numFmtId="17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" fontId="3" fillId="6" borderId="7" xfId="0" applyNumberFormat="1" applyFont="1" applyFill="1" applyBorder="1" applyAlignment="1">
      <alignment horizontal="center" vertical="center"/>
    </xf>
    <xf numFmtId="0" fontId="4" fillId="6" borderId="9" xfId="0" applyFont="1" applyFill="1" applyBorder="1" applyAlignment="1">
      <alignment vertical="center"/>
    </xf>
    <xf numFmtId="0" fontId="3" fillId="7" borderId="3" xfId="0" applyFont="1" applyFill="1" applyBorder="1" applyAlignment="1">
      <alignment horizontal="center" vertical="center"/>
    </xf>
    <xf numFmtId="17" fontId="3" fillId="7" borderId="4" xfId="0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1" fontId="3" fillId="7" borderId="17" xfId="0" applyNumberFormat="1" applyFont="1" applyFill="1" applyBorder="1" applyAlignment="1">
      <alignment horizontal="center" vertical="center"/>
    </xf>
    <xf numFmtId="1" fontId="3" fillId="7" borderId="17" xfId="0" applyNumberFormat="1" applyFont="1" applyFill="1" applyBorder="1" applyAlignment="1">
      <alignment vertical="center"/>
    </xf>
    <xf numFmtId="0" fontId="4" fillId="7" borderId="17" xfId="0" applyFont="1" applyFill="1" applyBorder="1" applyAlignment="1">
      <alignment vertical="center"/>
    </xf>
    <xf numFmtId="0" fontId="4" fillId="7" borderId="8" xfId="0" applyFont="1" applyFill="1" applyBorder="1" applyAlignment="1">
      <alignment vertical="center"/>
    </xf>
    <xf numFmtId="0" fontId="3" fillId="7" borderId="5" xfId="0" applyFont="1" applyFill="1" applyBorder="1" applyAlignment="1">
      <alignment horizontal="center" vertical="center"/>
    </xf>
    <xf numFmtId="17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4" fillId="7" borderId="0" xfId="0" applyFont="1" applyFill="1" applyAlignment="1">
      <alignment vertical="center"/>
    </xf>
    <xf numFmtId="3" fontId="3" fillId="7" borderId="1" xfId="0" applyNumberFormat="1" applyFont="1" applyFill="1" applyBorder="1" applyAlignment="1">
      <alignment horizontal="center" vertical="center"/>
    </xf>
    <xf numFmtId="1" fontId="3" fillId="7" borderId="10" xfId="0" applyNumberFormat="1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vertical="center"/>
    </xf>
    <xf numFmtId="1" fontId="3" fillId="7" borderId="11" xfId="0" applyNumberFormat="1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1" fontId="3" fillId="7" borderId="13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0" fontId="3" fillId="7" borderId="6" xfId="0" applyFont="1" applyFill="1" applyBorder="1" applyAlignment="1">
      <alignment horizontal="center" vertical="center"/>
    </xf>
    <xf numFmtId="17" fontId="3" fillId="7" borderId="7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vertical="center"/>
    </xf>
    <xf numFmtId="1" fontId="3" fillId="7" borderId="14" xfId="0" applyNumberFormat="1" applyFont="1" applyFill="1" applyBorder="1" applyAlignment="1">
      <alignment horizontal="center" vertical="center"/>
    </xf>
    <xf numFmtId="0" fontId="9" fillId="7" borderId="7" xfId="0" applyFont="1" applyFill="1" applyBorder="1" applyAlignment="1">
      <alignment vertical="center"/>
    </xf>
    <xf numFmtId="0" fontId="4" fillId="7" borderId="9" xfId="0" applyFont="1" applyFill="1" applyBorder="1" applyAlignment="1">
      <alignment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vertical="center"/>
    </xf>
    <xf numFmtId="0" fontId="9" fillId="7" borderId="11" xfId="0" applyFont="1" applyFill="1" applyBorder="1" applyAlignment="1">
      <alignment vertical="center"/>
    </xf>
    <xf numFmtId="0" fontId="10" fillId="7" borderId="11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vertical="center"/>
    </xf>
    <xf numFmtId="1" fontId="3" fillId="7" borderId="4" xfId="0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vertical="center"/>
    </xf>
    <xf numFmtId="17" fontId="12" fillId="8" borderId="1" xfId="0" applyNumberFormat="1" applyFont="1" applyFill="1" applyBorder="1" applyAlignment="1">
      <alignment vertical="center"/>
    </xf>
    <xf numFmtId="0" fontId="13" fillId="8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2" fontId="0" fillId="0" borderId="1" xfId="0" applyNumberFormat="1" applyBorder="1"/>
    <xf numFmtId="2" fontId="11" fillId="0" borderId="1" xfId="0" applyNumberFormat="1" applyFont="1" applyBorder="1"/>
    <xf numFmtId="2" fontId="0" fillId="0" borderId="1" xfId="0" applyNumberFormat="1" applyBorder="1" applyAlignment="1">
      <alignment vertical="center"/>
    </xf>
    <xf numFmtId="0" fontId="14" fillId="9" borderId="1" xfId="0" applyFont="1" applyFill="1" applyBorder="1" applyAlignment="1">
      <alignment vertical="center"/>
    </xf>
    <xf numFmtId="2" fontId="11" fillId="9" borderId="1" xfId="0" applyNumberFormat="1" applyFont="1" applyFill="1" applyBorder="1"/>
    <xf numFmtId="0" fontId="0" fillId="0" borderId="1" xfId="0" applyBorder="1" applyAlignment="1">
      <alignment horizontal="right"/>
    </xf>
    <xf numFmtId="0" fontId="14" fillId="0" borderId="1" xfId="0" applyFont="1" applyBorder="1" applyAlignment="1">
      <alignment horizontal="left" vertical="center"/>
    </xf>
    <xf numFmtId="2" fontId="0" fillId="0" borderId="0" xfId="0" applyNumberFormat="1"/>
    <xf numFmtId="2" fontId="0" fillId="0" borderId="1" xfId="0" applyNumberFormat="1" applyBorder="1" applyAlignment="1">
      <alignment horizontal="right"/>
    </xf>
    <xf numFmtId="1" fontId="3" fillId="7" borderId="11" xfId="0" applyNumberFormat="1" applyFont="1" applyFill="1" applyBorder="1" applyAlignment="1">
      <alignment horizontal="center" vertical="center" wrapText="1"/>
    </xf>
    <xf numFmtId="1" fontId="10" fillId="7" borderId="11" xfId="0" applyNumberFormat="1" applyFont="1" applyFill="1" applyBorder="1" applyAlignment="1">
      <alignment horizontal="center" vertical="center" wrapText="1"/>
    </xf>
    <xf numFmtId="1" fontId="3" fillId="7" borderId="11" xfId="1" applyNumberFormat="1" applyFont="1" applyFill="1" applyBorder="1" applyAlignment="1">
      <alignment horizontal="center" vertical="center"/>
    </xf>
    <xf numFmtId="9" fontId="0" fillId="0" borderId="0" xfId="2" applyFont="1"/>
    <xf numFmtId="165" fontId="0" fillId="0" borderId="0" xfId="2" applyNumberFormat="1" applyFont="1"/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3" fillId="10" borderId="3" xfId="0" applyFont="1" applyFill="1" applyBorder="1" applyAlignment="1">
      <alignment horizontal="center" vertical="center"/>
    </xf>
    <xf numFmtId="17" fontId="3" fillId="10" borderId="11" xfId="0" applyNumberFormat="1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/>
    </xf>
    <xf numFmtId="17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3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17" fontId="3" fillId="10" borderId="7" xfId="0" applyNumberFormat="1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0" borderId="14" xfId="0" applyFont="1" applyFill="1" applyBorder="1" applyAlignment="1">
      <alignment horizontal="center" vertical="center"/>
    </xf>
    <xf numFmtId="1" fontId="3" fillId="10" borderId="4" xfId="0" applyNumberFormat="1" applyFont="1" applyFill="1" applyBorder="1" applyAlignment="1">
      <alignment horizontal="center" vertical="center"/>
    </xf>
    <xf numFmtId="1" fontId="3" fillId="10" borderId="17" xfId="0" applyNumberFormat="1" applyFont="1" applyFill="1" applyBorder="1" applyAlignment="1">
      <alignment horizontal="center" vertical="center"/>
    </xf>
    <xf numFmtId="1" fontId="3" fillId="10" borderId="17" xfId="0" applyNumberFormat="1" applyFont="1" applyFill="1" applyBorder="1" applyAlignment="1">
      <alignment vertical="center"/>
    </xf>
    <xf numFmtId="0" fontId="4" fillId="10" borderId="17" xfId="0" applyFont="1" applyFill="1" applyBorder="1" applyAlignment="1">
      <alignment vertical="center"/>
    </xf>
    <xf numFmtId="0" fontId="4" fillId="10" borderId="8" xfId="0" applyFont="1" applyFill="1" applyBorder="1" applyAlignment="1">
      <alignment vertical="center"/>
    </xf>
    <xf numFmtId="1" fontId="3" fillId="10" borderId="1" xfId="0" applyNumberFormat="1" applyFont="1" applyFill="1" applyBorder="1" applyAlignment="1">
      <alignment horizontal="center" vertical="center"/>
    </xf>
    <xf numFmtId="1" fontId="3" fillId="10" borderId="13" xfId="0" applyNumberFormat="1" applyFont="1" applyFill="1" applyBorder="1" applyAlignment="1">
      <alignment horizontal="center" vertical="center"/>
    </xf>
    <xf numFmtId="1" fontId="10" fillId="10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3" fontId="3" fillId="10" borderId="1" xfId="0" applyNumberFormat="1" applyFont="1" applyFill="1" applyBorder="1" applyAlignment="1">
      <alignment horizontal="center" vertical="center"/>
    </xf>
    <xf numFmtId="1" fontId="3" fillId="10" borderId="1" xfId="0" applyNumberFormat="1" applyFont="1" applyFill="1" applyBorder="1" applyAlignment="1">
      <alignment horizontal="center" vertical="center" wrapText="1"/>
    </xf>
    <xf numFmtId="1" fontId="10" fillId="10" borderId="1" xfId="0" applyNumberFormat="1" applyFont="1" applyFill="1" applyBorder="1" applyAlignment="1">
      <alignment horizontal="center" vertical="center" wrapText="1"/>
    </xf>
    <xf numFmtId="1" fontId="3" fillId="10" borderId="11" xfId="0" applyNumberFormat="1" applyFont="1" applyFill="1" applyBorder="1" applyAlignment="1">
      <alignment horizontal="center" vertical="center"/>
    </xf>
    <xf numFmtId="1" fontId="3" fillId="10" borderId="11" xfId="0" applyNumberFormat="1" applyFont="1" applyFill="1" applyBorder="1" applyAlignment="1">
      <alignment horizontal="center" vertical="center" wrapText="1"/>
    </xf>
    <xf numFmtId="1" fontId="10" fillId="10" borderId="11" xfId="0" applyNumberFormat="1" applyFont="1" applyFill="1" applyBorder="1" applyAlignment="1">
      <alignment horizontal="center" vertical="center" wrapText="1"/>
    </xf>
    <xf numFmtId="0" fontId="3" fillId="10" borderId="1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0" fontId="3" fillId="10" borderId="11" xfId="0" applyFont="1" applyFill="1" applyBorder="1" applyAlignment="1">
      <alignment vertical="center"/>
    </xf>
    <xf numFmtId="0" fontId="4" fillId="10" borderId="1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3" fillId="10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vertical="center"/>
    </xf>
    <xf numFmtId="0" fontId="3" fillId="10" borderId="15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0" borderId="1" xfId="0" applyFont="1" applyFill="1" applyBorder="1" applyAlignment="1">
      <alignment vertical="center"/>
    </xf>
    <xf numFmtId="0" fontId="3" fillId="10" borderId="16" xfId="0" applyFont="1" applyFill="1" applyBorder="1" applyAlignment="1">
      <alignment horizontal="center" vertical="center"/>
    </xf>
    <xf numFmtId="1" fontId="3" fillId="10" borderId="14" xfId="0" applyNumberFormat="1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vertical="center"/>
    </xf>
    <xf numFmtId="0" fontId="9" fillId="10" borderId="7" xfId="0" applyFont="1" applyFill="1" applyBorder="1" applyAlignment="1">
      <alignment vertical="center"/>
    </xf>
    <xf numFmtId="0" fontId="4" fillId="10" borderId="9" xfId="0" applyFont="1" applyFill="1" applyBorder="1" applyAlignment="1">
      <alignment vertical="center"/>
    </xf>
    <xf numFmtId="1" fontId="3" fillId="4" borderId="17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7" fontId="3" fillId="7" borderId="1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17" fontId="3" fillId="11" borderId="11" xfId="0" applyNumberFormat="1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vertical="center"/>
    </xf>
    <xf numFmtId="1" fontId="3" fillId="11" borderId="4" xfId="0" applyNumberFormat="1" applyFont="1" applyFill="1" applyBorder="1" applyAlignment="1">
      <alignment horizontal="center" vertical="center"/>
    </xf>
    <xf numFmtId="1" fontId="3" fillId="11" borderId="17" xfId="0" applyNumberFormat="1" applyFont="1" applyFill="1" applyBorder="1" applyAlignment="1">
      <alignment horizontal="center" vertical="center"/>
    </xf>
    <xf numFmtId="1" fontId="3" fillId="11" borderId="17" xfId="0" applyNumberFormat="1" applyFont="1" applyFill="1" applyBorder="1" applyAlignment="1">
      <alignment vertical="center"/>
    </xf>
    <xf numFmtId="0" fontId="4" fillId="11" borderId="17" xfId="0" applyFont="1" applyFill="1" applyBorder="1" applyAlignment="1">
      <alignment vertical="center"/>
    </xf>
    <xf numFmtId="0" fontId="4" fillId="11" borderId="8" xfId="0" applyFont="1" applyFill="1" applyBorder="1" applyAlignment="1">
      <alignment vertical="center"/>
    </xf>
    <xf numFmtId="0" fontId="3" fillId="11" borderId="5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3" xfId="0" applyFont="1" applyFill="1" applyBorder="1" applyAlignment="1">
      <alignment horizontal="center" vertical="center"/>
    </xf>
    <xf numFmtId="1" fontId="3" fillId="11" borderId="1" xfId="0" applyNumberFormat="1" applyFont="1" applyFill="1" applyBorder="1" applyAlignment="1">
      <alignment horizontal="center" vertical="center"/>
    </xf>
    <xf numFmtId="1" fontId="3" fillId="11" borderId="13" xfId="0" applyNumberFormat="1" applyFont="1" applyFill="1" applyBorder="1" applyAlignment="1">
      <alignment horizontal="center" vertical="center"/>
    </xf>
    <xf numFmtId="1" fontId="10" fillId="11" borderId="1" xfId="0" applyNumberFormat="1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4" fillId="11" borderId="0" xfId="0" applyFont="1" applyFill="1" applyAlignment="1">
      <alignment vertical="center"/>
    </xf>
    <xf numFmtId="3" fontId="3" fillId="11" borderId="1" xfId="0" applyNumberFormat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1" fontId="3" fillId="11" borderId="1" xfId="0" applyNumberFormat="1" applyFont="1" applyFill="1" applyBorder="1" applyAlignment="1">
      <alignment horizontal="center" vertical="center" wrapText="1"/>
    </xf>
    <xf numFmtId="1" fontId="10" fillId="11" borderId="1" xfId="0" applyNumberFormat="1" applyFont="1" applyFill="1" applyBorder="1" applyAlignment="1">
      <alignment horizontal="center" vertical="center" wrapText="1"/>
    </xf>
    <xf numFmtId="1" fontId="9" fillId="11" borderId="11" xfId="0" applyNumberFormat="1" applyFont="1" applyFill="1" applyBorder="1" applyAlignment="1">
      <alignment horizontal="center" vertical="center" wrapText="1"/>
    </xf>
    <xf numFmtId="1" fontId="9" fillId="11" borderId="1" xfId="0" applyNumberFormat="1" applyFont="1" applyFill="1" applyBorder="1" applyAlignment="1">
      <alignment horizontal="center" vertical="center" wrapText="1"/>
    </xf>
    <xf numFmtId="1" fontId="3" fillId="11" borderId="11" xfId="0" applyNumberFormat="1" applyFont="1" applyFill="1" applyBorder="1" applyAlignment="1">
      <alignment horizontal="center" vertical="center"/>
    </xf>
    <xf numFmtId="1" fontId="3" fillId="11" borderId="11" xfId="0" applyNumberFormat="1" applyFont="1" applyFill="1" applyBorder="1" applyAlignment="1">
      <alignment horizontal="center" vertical="center" wrapText="1"/>
    </xf>
    <xf numFmtId="1" fontId="10" fillId="11" borderId="11" xfId="0" applyNumberFormat="1" applyFont="1" applyFill="1" applyBorder="1" applyAlignment="1">
      <alignment horizontal="center" vertical="center" wrapText="1"/>
    </xf>
    <xf numFmtId="0" fontId="3" fillId="11" borderId="1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vertical="center"/>
    </xf>
    <xf numFmtId="0" fontId="3" fillId="11" borderId="11" xfId="0" applyFont="1" applyFill="1" applyBorder="1" applyAlignment="1">
      <alignment vertical="center"/>
    </xf>
    <xf numFmtId="0" fontId="4" fillId="11" borderId="11" xfId="0" applyFont="1" applyFill="1" applyBorder="1" applyAlignment="1">
      <alignment vertical="center"/>
    </xf>
    <xf numFmtId="0" fontId="4" fillId="11" borderId="10" xfId="0" applyFont="1" applyFill="1" applyBorder="1" applyAlignment="1">
      <alignment vertical="center"/>
    </xf>
    <xf numFmtId="0" fontId="3" fillId="11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3" fillId="11" borderId="13" xfId="0" applyFont="1" applyFill="1" applyBorder="1" applyAlignment="1">
      <alignment horizontal="left" vertical="center"/>
    </xf>
    <xf numFmtId="0" fontId="3" fillId="11" borderId="15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vertical="center"/>
    </xf>
    <xf numFmtId="0" fontId="8" fillId="11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0" fontId="3" fillId="11" borderId="6" xfId="0" applyFont="1" applyFill="1" applyBorder="1" applyAlignment="1">
      <alignment horizontal="center" vertical="center"/>
    </xf>
    <xf numFmtId="0" fontId="3" fillId="11" borderId="7" xfId="0" applyFont="1" applyFill="1" applyBorder="1" applyAlignment="1">
      <alignment horizontal="center" vertical="center"/>
    </xf>
    <xf numFmtId="0" fontId="3" fillId="11" borderId="14" xfId="0" applyFont="1" applyFill="1" applyBorder="1" applyAlignment="1">
      <alignment horizontal="center" vertical="center"/>
    </xf>
    <xf numFmtId="0" fontId="3" fillId="11" borderId="16" xfId="0" applyFont="1" applyFill="1" applyBorder="1" applyAlignment="1">
      <alignment horizontal="center" vertical="center"/>
    </xf>
    <xf numFmtId="1" fontId="3" fillId="11" borderId="14" xfId="0" applyNumberFormat="1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/>
    </xf>
    <xf numFmtId="0" fontId="10" fillId="11" borderId="7" xfId="0" applyFont="1" applyFill="1" applyBorder="1" applyAlignment="1">
      <alignment vertical="center"/>
    </xf>
    <xf numFmtId="0" fontId="9" fillId="11" borderId="7" xfId="0" applyFont="1" applyFill="1" applyBorder="1" applyAlignment="1">
      <alignment vertical="center"/>
    </xf>
    <xf numFmtId="0" fontId="4" fillId="11" borderId="9" xfId="0" applyFont="1" applyFill="1" applyBorder="1" applyAlignment="1">
      <alignment vertical="center"/>
    </xf>
    <xf numFmtId="1" fontId="3" fillId="7" borderId="10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E9F8CA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63073-2BD3-48B4-976A-5AF0F87293C3}">
  <sheetPr codeName="Sheet1"/>
  <dimension ref="A1:U234"/>
  <sheetViews>
    <sheetView showGridLines="0" tabSelected="1" zoomScale="70" zoomScaleNormal="80" workbookViewId="0">
      <pane ySplit="2" topLeftCell="A3" activePane="bottomLeft" state="frozen"/>
      <selection pane="bottomLeft" activeCell="G18" sqref="G18"/>
    </sheetView>
  </sheetViews>
  <sheetFormatPr defaultRowHeight="14.5" x14ac:dyDescent="0.35"/>
  <cols>
    <col min="1" max="1" width="11.36328125" style="3" customWidth="1"/>
    <col min="2" max="2" width="9.7265625" style="3" customWidth="1"/>
    <col min="3" max="3" width="28.26953125" style="3" bestFit="1" customWidth="1"/>
    <col min="4" max="4" width="12.26953125" style="3" customWidth="1"/>
    <col min="5" max="5" width="13.08984375" style="3" customWidth="1"/>
    <col min="6" max="6" width="10.6328125" style="3" customWidth="1"/>
    <col min="7" max="7" width="16.7265625" style="3" bestFit="1" customWidth="1"/>
    <col min="8" max="8" width="14.54296875" style="3" bestFit="1" customWidth="1"/>
    <col min="9" max="9" width="17.7265625" style="3" customWidth="1"/>
    <col min="10" max="10" width="14.26953125" style="11" bestFit="1" customWidth="1"/>
    <col min="11" max="12" width="10.1796875" style="3" bestFit="1" customWidth="1"/>
    <col min="13" max="13" width="16.08984375" style="3" bestFit="1" customWidth="1"/>
    <col min="14" max="15" width="8.6328125" style="3" bestFit="1" customWidth="1"/>
    <col min="16" max="16" width="10.90625" style="3" bestFit="1" customWidth="1"/>
    <col min="17" max="17" width="14" style="3" bestFit="1" customWidth="1"/>
    <col min="18" max="18" width="9.7265625" style="3" bestFit="1" customWidth="1"/>
    <col min="19" max="19" width="12.26953125" style="3" bestFit="1" customWidth="1"/>
    <col min="20" max="20" width="77.6328125" style="3" bestFit="1" customWidth="1"/>
    <col min="21" max="21" width="12.1796875" style="3" bestFit="1" customWidth="1"/>
    <col min="22" max="16384" width="8.7265625" style="3"/>
  </cols>
  <sheetData>
    <row r="1" spans="1:21" s="1" customFormat="1" ht="15" thickBot="1" x14ac:dyDescent="0.4">
      <c r="G1" s="2">
        <f t="shared" ref="G1:S1" si="0">SUBTOTAL(9,G3:G1048576)</f>
        <v>265894735.76000002</v>
      </c>
      <c r="H1" s="2">
        <f t="shared" si="0"/>
        <v>30673665.816666666</v>
      </c>
      <c r="I1" s="2">
        <f t="shared" si="0"/>
        <v>12822564</v>
      </c>
      <c r="J1" s="9">
        <f t="shared" si="0"/>
        <v>10077627.669999998</v>
      </c>
      <c r="K1" s="2">
        <f t="shared" si="0"/>
        <v>3448207</v>
      </c>
      <c r="L1" s="2">
        <f t="shared" si="0"/>
        <v>2146313</v>
      </c>
      <c r="M1" s="2">
        <f t="shared" si="0"/>
        <v>2287021.3333333335</v>
      </c>
      <c r="N1" s="2">
        <f t="shared" si="0"/>
        <v>429779</v>
      </c>
      <c r="O1" s="2">
        <f t="shared" si="0"/>
        <v>551641</v>
      </c>
      <c r="P1" s="2">
        <f t="shared" si="0"/>
        <v>639347</v>
      </c>
      <c r="Q1" s="2">
        <f t="shared" si="0"/>
        <v>257780</v>
      </c>
      <c r="R1" s="2">
        <f t="shared" si="0"/>
        <v>438050</v>
      </c>
      <c r="S1" s="2">
        <f t="shared" si="0"/>
        <v>3127611.15</v>
      </c>
      <c r="T1" s="2"/>
      <c r="U1" s="2">
        <f>SUBTOTAL(9,U3:U1048576)</f>
        <v>332794342.7299999</v>
      </c>
    </row>
    <row r="2" spans="1:21" s="7" customFormat="1" ht="15" thickBot="1" x14ac:dyDescent="0.4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5" t="s">
        <v>6</v>
      </c>
      <c r="H2" s="8" t="s">
        <v>7</v>
      </c>
      <c r="I2" s="5" t="s">
        <v>103</v>
      </c>
      <c r="J2" s="10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R2" s="5" t="s">
        <v>16</v>
      </c>
      <c r="S2" s="5" t="s">
        <v>17</v>
      </c>
      <c r="T2" s="5" t="s">
        <v>18</v>
      </c>
      <c r="U2" s="6" t="s">
        <v>19</v>
      </c>
    </row>
    <row r="3" spans="1:21" s="17" customFormat="1" ht="15" thickBot="1" x14ac:dyDescent="0.4">
      <c r="A3" s="12" t="s">
        <v>20</v>
      </c>
      <c r="B3" s="13">
        <v>46113</v>
      </c>
      <c r="C3" s="14" t="s">
        <v>21</v>
      </c>
      <c r="D3" s="14" t="s">
        <v>22</v>
      </c>
      <c r="E3" s="14" t="s">
        <v>23</v>
      </c>
      <c r="F3" s="14" t="s">
        <v>40</v>
      </c>
      <c r="G3" s="15">
        <v>125437</v>
      </c>
      <c r="H3" s="15">
        <v>85083</v>
      </c>
      <c r="I3" s="15">
        <v>0</v>
      </c>
      <c r="J3" s="175">
        <v>4833.25</v>
      </c>
      <c r="K3" s="15">
        <v>4676</v>
      </c>
      <c r="L3" s="15">
        <v>2600</v>
      </c>
      <c r="M3" s="15">
        <v>15000</v>
      </c>
      <c r="N3" s="15">
        <v>0</v>
      </c>
      <c r="O3" s="15">
        <v>0</v>
      </c>
      <c r="P3" s="15">
        <v>0</v>
      </c>
      <c r="Q3" s="15">
        <v>3125</v>
      </c>
      <c r="R3" s="15">
        <v>2500</v>
      </c>
      <c r="S3" s="15">
        <v>2000</v>
      </c>
      <c r="T3" s="15" t="s">
        <v>25</v>
      </c>
      <c r="U3" s="16">
        <f>SUM(G3:S3)</f>
        <v>245254.25</v>
      </c>
    </row>
    <row r="4" spans="1:21" s="22" customFormat="1" ht="15" thickBot="1" x14ac:dyDescent="0.4">
      <c r="A4" s="18" t="s">
        <v>20</v>
      </c>
      <c r="B4" s="19">
        <v>46113</v>
      </c>
      <c r="C4" s="20" t="s">
        <v>26</v>
      </c>
      <c r="D4" s="20" t="s">
        <v>22</v>
      </c>
      <c r="E4" s="20" t="s">
        <v>23</v>
      </c>
      <c r="F4" s="20" t="s">
        <v>40</v>
      </c>
      <c r="G4" s="21">
        <v>528210</v>
      </c>
      <c r="H4" s="21">
        <v>35982.333333333336</v>
      </c>
      <c r="I4" s="21">
        <v>0</v>
      </c>
      <c r="J4" s="21">
        <v>4833.25</v>
      </c>
      <c r="K4" s="21">
        <v>17032</v>
      </c>
      <c r="L4" s="21">
        <v>3280</v>
      </c>
      <c r="M4" s="21">
        <v>44762</v>
      </c>
      <c r="N4" s="21">
        <v>0</v>
      </c>
      <c r="O4" s="21">
        <v>3334</v>
      </c>
      <c r="P4" s="21">
        <v>10589</v>
      </c>
      <c r="Q4" s="21">
        <v>3125</v>
      </c>
      <c r="R4" s="21">
        <v>2500</v>
      </c>
      <c r="S4" s="21">
        <v>57500</v>
      </c>
      <c r="T4" s="21" t="s">
        <v>27</v>
      </c>
      <c r="U4" s="16">
        <f t="shared" ref="U4:U67" si="1">SUM(G4:S4)</f>
        <v>711147.58333333337</v>
      </c>
    </row>
    <row r="5" spans="1:21" s="22" customFormat="1" ht="15" thickBot="1" x14ac:dyDescent="0.4">
      <c r="A5" s="18" t="s">
        <v>20</v>
      </c>
      <c r="B5" s="19">
        <v>46113</v>
      </c>
      <c r="C5" s="20" t="s">
        <v>28</v>
      </c>
      <c r="D5" s="20" t="s">
        <v>22</v>
      </c>
      <c r="E5" s="20" t="s">
        <v>23</v>
      </c>
      <c r="F5" s="20" t="s">
        <v>40</v>
      </c>
      <c r="G5" s="21">
        <v>86702</v>
      </c>
      <c r="H5" s="21">
        <v>0</v>
      </c>
      <c r="I5" s="21">
        <v>704</v>
      </c>
      <c r="J5" s="21">
        <v>4833.25</v>
      </c>
      <c r="K5" s="21">
        <v>4232</v>
      </c>
      <c r="L5" s="21">
        <v>0</v>
      </c>
      <c r="M5" s="21">
        <v>0</v>
      </c>
      <c r="N5" s="21">
        <v>0</v>
      </c>
      <c r="O5" s="21">
        <v>3334</v>
      </c>
      <c r="P5" s="21">
        <v>0</v>
      </c>
      <c r="Q5" s="21">
        <v>3125</v>
      </c>
      <c r="R5" s="21">
        <v>2500</v>
      </c>
      <c r="S5" s="21">
        <v>0</v>
      </c>
      <c r="T5" s="21"/>
      <c r="U5" s="16">
        <f t="shared" si="1"/>
        <v>105430.25</v>
      </c>
    </row>
    <row r="6" spans="1:21" s="23" customFormat="1" ht="12.5" thickBot="1" x14ac:dyDescent="0.4">
      <c r="A6" s="18" t="s">
        <v>20</v>
      </c>
      <c r="B6" s="19">
        <v>46113</v>
      </c>
      <c r="C6" s="20" t="s">
        <v>29</v>
      </c>
      <c r="D6" s="20" t="s">
        <v>22</v>
      </c>
      <c r="E6" s="20" t="s">
        <v>23</v>
      </c>
      <c r="F6" s="20" t="s">
        <v>40</v>
      </c>
      <c r="G6" s="21">
        <v>52800</v>
      </c>
      <c r="H6" s="21">
        <v>35982.333333333336</v>
      </c>
      <c r="I6" s="21">
        <v>2816</v>
      </c>
      <c r="J6" s="21">
        <v>4833.25</v>
      </c>
      <c r="K6" s="21">
        <v>9150</v>
      </c>
      <c r="L6" s="21">
        <v>3740</v>
      </c>
      <c r="M6" s="21">
        <v>0</v>
      </c>
      <c r="N6" s="21">
        <v>0</v>
      </c>
      <c r="O6" s="21">
        <v>3334</v>
      </c>
      <c r="P6" s="21">
        <v>0</v>
      </c>
      <c r="Q6" s="21">
        <v>3125</v>
      </c>
      <c r="R6" s="21">
        <v>2500</v>
      </c>
      <c r="S6" s="21">
        <v>50070</v>
      </c>
      <c r="T6" s="21" t="s">
        <v>30</v>
      </c>
      <c r="U6" s="16">
        <f t="shared" si="1"/>
        <v>168350.58333333334</v>
      </c>
    </row>
    <row r="7" spans="1:21" s="22" customFormat="1" ht="15" thickBot="1" x14ac:dyDescent="0.4">
      <c r="A7" s="18" t="s">
        <v>20</v>
      </c>
      <c r="B7" s="19">
        <v>46113</v>
      </c>
      <c r="C7" s="20" t="s">
        <v>104</v>
      </c>
      <c r="D7" s="20" t="s">
        <v>22</v>
      </c>
      <c r="E7" s="20" t="s">
        <v>32</v>
      </c>
      <c r="F7" s="20" t="s">
        <v>40</v>
      </c>
      <c r="G7" s="21">
        <v>11962</v>
      </c>
      <c r="H7" s="21">
        <v>35982</v>
      </c>
      <c r="I7" s="21">
        <v>0</v>
      </c>
      <c r="J7" s="21">
        <v>0</v>
      </c>
      <c r="K7" s="21">
        <v>2514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/>
      <c r="U7" s="16">
        <f t="shared" si="1"/>
        <v>50458</v>
      </c>
    </row>
    <row r="8" spans="1:21" s="22" customFormat="1" ht="15" thickBot="1" x14ac:dyDescent="0.4">
      <c r="A8" s="18" t="s">
        <v>20</v>
      </c>
      <c r="B8" s="19">
        <v>46113</v>
      </c>
      <c r="C8" s="20" t="s">
        <v>83</v>
      </c>
      <c r="D8" s="20" t="s">
        <v>31</v>
      </c>
      <c r="E8" s="20" t="s">
        <v>32</v>
      </c>
      <c r="F8" s="20" t="s">
        <v>40</v>
      </c>
      <c r="G8" s="21">
        <v>233605</v>
      </c>
      <c r="H8" s="21">
        <v>52662</v>
      </c>
      <c r="I8" s="21">
        <v>0</v>
      </c>
      <c r="J8" s="21">
        <v>2128</v>
      </c>
      <c r="K8" s="21">
        <v>3336</v>
      </c>
      <c r="L8" s="21">
        <v>1675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/>
      <c r="U8" s="16">
        <f t="shared" si="1"/>
        <v>293406</v>
      </c>
    </row>
    <row r="9" spans="1:21" s="22" customFormat="1" ht="15" thickBot="1" x14ac:dyDescent="0.4">
      <c r="A9" s="18" t="s">
        <v>20</v>
      </c>
      <c r="B9" s="19">
        <v>46113</v>
      </c>
      <c r="C9" s="20" t="s">
        <v>33</v>
      </c>
      <c r="D9" s="20" t="s">
        <v>34</v>
      </c>
      <c r="E9" s="20" t="s">
        <v>32</v>
      </c>
      <c r="F9" s="20" t="s">
        <v>40</v>
      </c>
      <c r="G9" s="21">
        <v>3335391</v>
      </c>
      <c r="H9" s="21">
        <v>425953</v>
      </c>
      <c r="I9" s="21">
        <v>0</v>
      </c>
      <c r="J9" s="21">
        <v>85000</v>
      </c>
      <c r="K9" s="21">
        <v>31766</v>
      </c>
      <c r="L9" s="21">
        <v>13275</v>
      </c>
      <c r="M9" s="21">
        <v>13320</v>
      </c>
      <c r="N9" s="21">
        <v>3500</v>
      </c>
      <c r="O9" s="21">
        <v>15000</v>
      </c>
      <c r="P9" s="21">
        <v>0</v>
      </c>
      <c r="Q9" s="21">
        <v>15000</v>
      </c>
      <c r="R9" s="21">
        <v>4200</v>
      </c>
      <c r="S9" s="21">
        <v>10000</v>
      </c>
      <c r="T9" s="21" t="s">
        <v>35</v>
      </c>
      <c r="U9" s="16">
        <f t="shared" si="1"/>
        <v>3952405</v>
      </c>
    </row>
    <row r="10" spans="1:21" s="22" customFormat="1" ht="15" thickBot="1" x14ac:dyDescent="0.4">
      <c r="A10" s="18" t="s">
        <v>20</v>
      </c>
      <c r="B10" s="19">
        <v>46113</v>
      </c>
      <c r="C10" s="20" t="s">
        <v>87</v>
      </c>
      <c r="D10" s="20" t="s">
        <v>36</v>
      </c>
      <c r="E10" s="20" t="s">
        <v>23</v>
      </c>
      <c r="F10" s="20" t="s">
        <v>40</v>
      </c>
      <c r="G10" s="21">
        <v>240601</v>
      </c>
      <c r="H10" s="21">
        <v>35376</v>
      </c>
      <c r="I10" s="21">
        <v>62055</v>
      </c>
      <c r="J10" s="21">
        <v>15017.333333333334</v>
      </c>
      <c r="K10" s="21">
        <v>3952</v>
      </c>
      <c r="L10" s="21">
        <v>1108</v>
      </c>
      <c r="M10" s="21">
        <f>6720/3</f>
        <v>2240</v>
      </c>
      <c r="N10" s="21">
        <v>0</v>
      </c>
      <c r="O10" s="21">
        <v>2333</v>
      </c>
      <c r="P10" s="21">
        <v>0</v>
      </c>
      <c r="Q10" s="20">
        <v>1333</v>
      </c>
      <c r="R10" s="21">
        <v>1770</v>
      </c>
      <c r="S10" s="21">
        <v>21780</v>
      </c>
      <c r="T10" s="21" t="s">
        <v>37</v>
      </c>
      <c r="U10" s="16">
        <f t="shared" si="1"/>
        <v>387565.33333333331</v>
      </c>
    </row>
    <row r="11" spans="1:21" s="22" customFormat="1" ht="15" thickBot="1" x14ac:dyDescent="0.4">
      <c r="A11" s="18" t="s">
        <v>20</v>
      </c>
      <c r="B11" s="19">
        <v>46113</v>
      </c>
      <c r="C11" s="20" t="s">
        <v>38</v>
      </c>
      <c r="D11" s="20" t="s">
        <v>36</v>
      </c>
      <c r="E11" s="20" t="s">
        <v>23</v>
      </c>
      <c r="F11" s="20" t="s">
        <v>40</v>
      </c>
      <c r="G11" s="21">
        <v>206962</v>
      </c>
      <c r="H11" s="21">
        <v>35376</v>
      </c>
      <c r="I11" s="21">
        <v>0</v>
      </c>
      <c r="J11" s="21">
        <v>15017.333333333334</v>
      </c>
      <c r="K11" s="21">
        <v>3720</v>
      </c>
      <c r="L11" s="21">
        <v>1108</v>
      </c>
      <c r="M11" s="21">
        <v>2240</v>
      </c>
      <c r="N11" s="21">
        <v>2000</v>
      </c>
      <c r="O11" s="21">
        <v>2333</v>
      </c>
      <c r="P11" s="21">
        <v>2500</v>
      </c>
      <c r="Q11" s="20">
        <v>1333</v>
      </c>
      <c r="R11" s="21">
        <v>1770</v>
      </c>
      <c r="S11" s="21">
        <v>0</v>
      </c>
      <c r="T11" s="21"/>
      <c r="U11" s="16">
        <f t="shared" si="1"/>
        <v>274359.33333333337</v>
      </c>
    </row>
    <row r="12" spans="1:21" s="22" customFormat="1" ht="15" thickBot="1" x14ac:dyDescent="0.4">
      <c r="A12" s="18" t="s">
        <v>20</v>
      </c>
      <c r="B12" s="19">
        <v>46113</v>
      </c>
      <c r="C12" s="20" t="s">
        <v>39</v>
      </c>
      <c r="D12" s="20" t="s">
        <v>36</v>
      </c>
      <c r="E12" s="20" t="s">
        <v>23</v>
      </c>
      <c r="F12" s="20" t="s">
        <v>40</v>
      </c>
      <c r="G12" s="21">
        <v>46987</v>
      </c>
      <c r="H12" s="21">
        <v>35376</v>
      </c>
      <c r="I12" s="21">
        <v>0</v>
      </c>
      <c r="J12" s="21">
        <v>15017.333333333334</v>
      </c>
      <c r="K12" s="21">
        <v>1232</v>
      </c>
      <c r="L12" s="21">
        <v>1108</v>
      </c>
      <c r="M12" s="21">
        <v>2240</v>
      </c>
      <c r="N12" s="21">
        <v>0</v>
      </c>
      <c r="O12" s="21">
        <v>2333</v>
      </c>
      <c r="P12" s="21">
        <v>0</v>
      </c>
      <c r="Q12" s="20">
        <v>1333</v>
      </c>
      <c r="R12" s="21">
        <v>1770</v>
      </c>
      <c r="S12" s="21">
        <v>0</v>
      </c>
      <c r="T12" s="21"/>
      <c r="U12" s="16">
        <f t="shared" si="1"/>
        <v>107396.33333333333</v>
      </c>
    </row>
    <row r="13" spans="1:21" s="22" customFormat="1" ht="15" thickBot="1" x14ac:dyDescent="0.4">
      <c r="A13" s="18" t="s">
        <v>20</v>
      </c>
      <c r="B13" s="19">
        <v>46113</v>
      </c>
      <c r="C13" s="20" t="s">
        <v>73</v>
      </c>
      <c r="D13" s="20" t="s">
        <v>74</v>
      </c>
      <c r="E13" s="20" t="s">
        <v>75</v>
      </c>
      <c r="F13" s="20" t="s">
        <v>40</v>
      </c>
      <c r="G13" s="20">
        <v>223959</v>
      </c>
      <c r="H13" s="20">
        <v>0</v>
      </c>
      <c r="I13" s="20">
        <v>0</v>
      </c>
      <c r="J13" s="21">
        <v>144711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4"/>
      <c r="U13" s="16">
        <f t="shared" si="1"/>
        <v>368670</v>
      </c>
    </row>
    <row r="14" spans="1:21" s="22" customFormat="1" ht="15" thickBot="1" x14ac:dyDescent="0.4">
      <c r="A14" s="18" t="s">
        <v>20</v>
      </c>
      <c r="B14" s="19">
        <v>46113</v>
      </c>
      <c r="C14" s="20" t="s">
        <v>33</v>
      </c>
      <c r="D14" s="20" t="s">
        <v>100</v>
      </c>
      <c r="E14" s="20" t="s">
        <v>32</v>
      </c>
      <c r="F14" s="20" t="s">
        <v>24</v>
      </c>
      <c r="G14" s="20">
        <v>8620260</v>
      </c>
      <c r="H14" s="20">
        <v>2217434</v>
      </c>
      <c r="I14" s="20">
        <f>516924+246100</f>
        <v>763024</v>
      </c>
      <c r="J14" s="21">
        <v>73149</v>
      </c>
      <c r="K14" s="20"/>
      <c r="L14" s="20"/>
      <c r="M14" s="20"/>
      <c r="N14" s="20"/>
      <c r="O14" s="20"/>
      <c r="P14" s="20"/>
      <c r="Q14" s="20"/>
      <c r="R14" s="20"/>
      <c r="S14" s="20"/>
      <c r="T14" s="24"/>
      <c r="U14" s="16">
        <f t="shared" si="1"/>
        <v>11673867</v>
      </c>
    </row>
    <row r="15" spans="1:21" s="22" customFormat="1" ht="15" thickBot="1" x14ac:dyDescent="0.4">
      <c r="A15" s="18" t="s">
        <v>20</v>
      </c>
      <c r="B15" s="19">
        <v>46113</v>
      </c>
      <c r="C15" s="20" t="s">
        <v>33</v>
      </c>
      <c r="D15" s="20" t="s">
        <v>101</v>
      </c>
      <c r="E15" s="20" t="s">
        <v>32</v>
      </c>
      <c r="F15" s="20" t="s">
        <v>24</v>
      </c>
      <c r="G15" s="20">
        <v>3561193</v>
      </c>
      <c r="H15" s="20">
        <v>680520</v>
      </c>
      <c r="I15" s="20">
        <v>0</v>
      </c>
      <c r="J15" s="21">
        <v>74377</v>
      </c>
      <c r="K15" s="20"/>
      <c r="L15" s="20"/>
      <c r="M15" s="20"/>
      <c r="N15" s="20"/>
      <c r="O15" s="20"/>
      <c r="P15" s="20"/>
      <c r="Q15" s="20"/>
      <c r="R15" s="20"/>
      <c r="S15" s="20"/>
      <c r="T15" s="24"/>
      <c r="U15" s="16">
        <f t="shared" si="1"/>
        <v>4316090</v>
      </c>
    </row>
    <row r="16" spans="1:21" s="22" customFormat="1" ht="15" thickBot="1" x14ac:dyDescent="0.4">
      <c r="A16" s="18" t="s">
        <v>20</v>
      </c>
      <c r="B16" s="19">
        <v>46113</v>
      </c>
      <c r="C16" s="20" t="s">
        <v>33</v>
      </c>
      <c r="D16" s="20" t="s">
        <v>102</v>
      </c>
      <c r="E16" s="20" t="s">
        <v>32</v>
      </c>
      <c r="F16" s="20" t="s">
        <v>24</v>
      </c>
      <c r="G16" s="21">
        <v>1073578</v>
      </c>
      <c r="H16" s="21">
        <v>341077.77</v>
      </c>
      <c r="I16" s="21">
        <v>0</v>
      </c>
      <c r="J16" s="21">
        <v>212060</v>
      </c>
      <c r="K16" s="21">
        <v>159268</v>
      </c>
      <c r="L16" s="21">
        <v>78000</v>
      </c>
      <c r="M16" s="21">
        <v>52830</v>
      </c>
      <c r="N16" s="21">
        <v>0</v>
      </c>
      <c r="O16" s="21">
        <v>0</v>
      </c>
      <c r="P16" s="21">
        <v>0</v>
      </c>
      <c r="Q16" s="21">
        <v>31500</v>
      </c>
      <c r="R16" s="21">
        <v>4900</v>
      </c>
      <c r="S16" s="21">
        <v>0</v>
      </c>
      <c r="T16" s="21"/>
      <c r="U16" s="16">
        <f t="shared" si="1"/>
        <v>1953213.77</v>
      </c>
    </row>
    <row r="17" spans="1:21" s="22" customFormat="1" ht="15" thickBot="1" x14ac:dyDescent="0.4">
      <c r="A17" s="18" t="s">
        <v>20</v>
      </c>
      <c r="B17" s="19">
        <v>46113</v>
      </c>
      <c r="C17" s="20" t="s">
        <v>33</v>
      </c>
      <c r="D17" s="20" t="s">
        <v>41</v>
      </c>
      <c r="E17" s="20" t="s">
        <v>32</v>
      </c>
      <c r="F17" s="20" t="s">
        <v>24</v>
      </c>
      <c r="G17" s="21">
        <v>2448838</v>
      </c>
      <c r="H17" s="21">
        <v>276040</v>
      </c>
      <c r="I17" s="21">
        <v>40812</v>
      </c>
      <c r="J17" s="21">
        <v>57290</v>
      </c>
      <c r="K17" s="21">
        <v>64057</v>
      </c>
      <c r="L17" s="21">
        <v>13140</v>
      </c>
      <c r="M17" s="21">
        <v>52462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/>
      <c r="U17" s="16">
        <f t="shared" si="1"/>
        <v>2952639</v>
      </c>
    </row>
    <row r="18" spans="1:21" s="22" customFormat="1" ht="15" thickBot="1" x14ac:dyDescent="0.4">
      <c r="A18" s="18" t="s">
        <v>20</v>
      </c>
      <c r="B18" s="19">
        <v>46113</v>
      </c>
      <c r="C18" s="20" t="s">
        <v>42</v>
      </c>
      <c r="D18" s="20" t="s">
        <v>43</v>
      </c>
      <c r="E18" s="20" t="s">
        <v>32</v>
      </c>
      <c r="F18" s="20" t="s">
        <v>24</v>
      </c>
      <c r="G18" s="21">
        <v>115986</v>
      </c>
      <c r="H18" s="21">
        <v>56967</v>
      </c>
      <c r="I18" s="21">
        <v>0</v>
      </c>
      <c r="J18" s="21">
        <v>0</v>
      </c>
      <c r="K18" s="21">
        <v>9660</v>
      </c>
      <c r="L18" s="21">
        <v>2250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/>
      <c r="U18" s="16">
        <f t="shared" si="1"/>
        <v>184863</v>
      </c>
    </row>
    <row r="19" spans="1:21" s="23" customFormat="1" ht="12.5" thickBot="1" x14ac:dyDescent="0.4">
      <c r="A19" s="18" t="s">
        <v>20</v>
      </c>
      <c r="B19" s="19">
        <v>46113</v>
      </c>
      <c r="C19" s="20" t="s">
        <v>29</v>
      </c>
      <c r="D19" s="20" t="s">
        <v>44</v>
      </c>
      <c r="E19" s="20" t="s">
        <v>23</v>
      </c>
      <c r="F19" s="20" t="s">
        <v>45</v>
      </c>
      <c r="G19" s="21">
        <v>32370</v>
      </c>
      <c r="H19" s="21">
        <v>50498</v>
      </c>
      <c r="I19" s="21">
        <v>0</v>
      </c>
      <c r="J19" s="21">
        <v>6420</v>
      </c>
      <c r="K19" s="21">
        <v>2730</v>
      </c>
      <c r="L19" s="21">
        <v>1050</v>
      </c>
      <c r="M19" s="21">
        <v>0</v>
      </c>
      <c r="N19" s="21">
        <v>4413</v>
      </c>
      <c r="O19" s="21">
        <v>0</v>
      </c>
      <c r="P19" s="21">
        <v>0</v>
      </c>
      <c r="Q19" s="21">
        <v>1500</v>
      </c>
      <c r="R19" s="21">
        <v>2343</v>
      </c>
      <c r="S19" s="21">
        <v>0</v>
      </c>
      <c r="T19" s="21"/>
      <c r="U19" s="16">
        <f t="shared" si="1"/>
        <v>101324</v>
      </c>
    </row>
    <row r="20" spans="1:21" s="22" customFormat="1" ht="15" thickBot="1" x14ac:dyDescent="0.4">
      <c r="A20" s="18" t="s">
        <v>20</v>
      </c>
      <c r="B20" s="19">
        <v>46113</v>
      </c>
      <c r="C20" s="20" t="s">
        <v>66</v>
      </c>
      <c r="D20" s="20" t="s">
        <v>44</v>
      </c>
      <c r="E20" s="20" t="s">
        <v>23</v>
      </c>
      <c r="F20" s="20" t="s">
        <v>45</v>
      </c>
      <c r="G20" s="21">
        <v>3200439</v>
      </c>
      <c r="H20" s="21">
        <v>219123</v>
      </c>
      <c r="I20" s="21">
        <v>0</v>
      </c>
      <c r="J20" s="21">
        <v>210329.79</v>
      </c>
      <c r="K20" s="21">
        <v>52774</v>
      </c>
      <c r="L20" s="21">
        <v>5000</v>
      </c>
      <c r="M20" s="21">
        <v>0</v>
      </c>
      <c r="N20" s="21">
        <v>1430</v>
      </c>
      <c r="O20" s="21"/>
      <c r="P20" s="21">
        <v>10500</v>
      </c>
      <c r="Q20" s="21"/>
      <c r="R20" s="21">
        <v>10353</v>
      </c>
      <c r="S20" s="21">
        <v>82961</v>
      </c>
      <c r="T20" s="21" t="s">
        <v>46</v>
      </c>
      <c r="U20" s="16">
        <f t="shared" si="1"/>
        <v>3792909.79</v>
      </c>
    </row>
    <row r="21" spans="1:21" s="22" customFormat="1" ht="15" thickBot="1" x14ac:dyDescent="0.4">
      <c r="A21" s="18" t="s">
        <v>20</v>
      </c>
      <c r="B21" s="19">
        <v>46113</v>
      </c>
      <c r="C21" s="20" t="s">
        <v>47</v>
      </c>
      <c r="D21" s="20" t="s">
        <v>44</v>
      </c>
      <c r="E21" s="20" t="s">
        <v>23</v>
      </c>
      <c r="F21" s="20" t="s">
        <v>45</v>
      </c>
      <c r="G21" s="21">
        <v>98281</v>
      </c>
      <c r="H21" s="21">
        <v>37873.5</v>
      </c>
      <c r="I21" s="21">
        <v>0</v>
      </c>
      <c r="J21" s="21">
        <v>15695</v>
      </c>
      <c r="K21" s="21">
        <v>2956</v>
      </c>
      <c r="L21" s="21">
        <v>792</v>
      </c>
      <c r="M21" s="21">
        <v>0</v>
      </c>
      <c r="N21" s="21">
        <v>0</v>
      </c>
      <c r="O21" s="21">
        <v>7000</v>
      </c>
      <c r="P21" s="21">
        <v>2799</v>
      </c>
      <c r="Q21" s="21">
        <v>0</v>
      </c>
      <c r="R21" s="21">
        <v>0</v>
      </c>
      <c r="S21" s="21">
        <v>0</v>
      </c>
      <c r="T21" s="21"/>
      <c r="U21" s="16">
        <f t="shared" si="1"/>
        <v>165396.5</v>
      </c>
    </row>
    <row r="22" spans="1:21" s="22" customFormat="1" ht="15" thickBot="1" x14ac:dyDescent="0.4">
      <c r="A22" s="18" t="s">
        <v>20</v>
      </c>
      <c r="B22" s="19">
        <v>46113</v>
      </c>
      <c r="C22" s="20" t="s">
        <v>48</v>
      </c>
      <c r="D22" s="20" t="s">
        <v>44</v>
      </c>
      <c r="E22" s="20" t="s">
        <v>23</v>
      </c>
      <c r="F22" s="20" t="s">
        <v>45</v>
      </c>
      <c r="G22" s="21">
        <v>208964</v>
      </c>
      <c r="H22" s="21">
        <v>37873.5</v>
      </c>
      <c r="I22" s="21">
        <v>0</v>
      </c>
      <c r="J22" s="21">
        <v>15695</v>
      </c>
      <c r="K22" s="21">
        <v>5460</v>
      </c>
      <c r="L22" s="21">
        <v>1572</v>
      </c>
      <c r="M22" s="21">
        <v>0</v>
      </c>
      <c r="N22" s="21">
        <v>12091</v>
      </c>
      <c r="O22" s="21">
        <v>7000</v>
      </c>
      <c r="P22" s="21">
        <v>5234</v>
      </c>
      <c r="Q22" s="21">
        <v>0</v>
      </c>
      <c r="R22" s="21">
        <v>0</v>
      </c>
      <c r="S22" s="21">
        <v>0</v>
      </c>
      <c r="T22" s="21"/>
      <c r="U22" s="16">
        <f t="shared" si="1"/>
        <v>293889.5</v>
      </c>
    </row>
    <row r="23" spans="1:21" s="22" customFormat="1" ht="15" thickBot="1" x14ac:dyDescent="0.4">
      <c r="A23" s="18" t="s">
        <v>20</v>
      </c>
      <c r="B23" s="19">
        <v>46113</v>
      </c>
      <c r="C23" s="20" t="s">
        <v>81</v>
      </c>
      <c r="D23" s="20" t="s">
        <v>80</v>
      </c>
      <c r="E23" s="20" t="s">
        <v>23</v>
      </c>
      <c r="F23" s="20" t="s">
        <v>49</v>
      </c>
      <c r="G23" s="21">
        <v>73076</v>
      </c>
      <c r="H23" s="21">
        <v>0</v>
      </c>
      <c r="I23" s="21">
        <v>5200</v>
      </c>
      <c r="J23" s="21">
        <v>0</v>
      </c>
      <c r="K23" s="21"/>
      <c r="L23" s="21"/>
      <c r="M23" s="21">
        <v>0</v>
      </c>
      <c r="N23" s="21"/>
      <c r="O23" s="21"/>
      <c r="P23" s="21"/>
      <c r="Q23" s="21"/>
      <c r="R23" s="21"/>
      <c r="S23" s="21"/>
      <c r="T23" s="21"/>
      <c r="U23" s="16">
        <f t="shared" si="1"/>
        <v>78276</v>
      </c>
    </row>
    <row r="24" spans="1:21" s="22" customFormat="1" ht="15" thickBot="1" x14ac:dyDescent="0.4">
      <c r="A24" s="18" t="s">
        <v>20</v>
      </c>
      <c r="B24" s="19">
        <v>46113</v>
      </c>
      <c r="C24" s="20" t="s">
        <v>83</v>
      </c>
      <c r="D24" s="20" t="s">
        <v>80</v>
      </c>
      <c r="E24" s="20" t="s">
        <v>23</v>
      </c>
      <c r="F24" s="20" t="s">
        <v>49</v>
      </c>
      <c r="G24" s="21">
        <v>611412</v>
      </c>
      <c r="H24" s="21">
        <v>67483</v>
      </c>
      <c r="I24" s="21">
        <v>0</v>
      </c>
      <c r="J24" s="21">
        <v>55880</v>
      </c>
      <c r="K24" s="21">
        <v>0</v>
      </c>
      <c r="L24" s="21">
        <v>6900</v>
      </c>
      <c r="M24" s="21">
        <v>7630</v>
      </c>
      <c r="N24" s="21">
        <v>12778</v>
      </c>
      <c r="O24" s="21">
        <v>0</v>
      </c>
      <c r="P24" s="21">
        <v>0</v>
      </c>
      <c r="Q24" s="21">
        <v>0</v>
      </c>
      <c r="R24" s="21">
        <v>0</v>
      </c>
      <c r="S24" s="21">
        <v>11200</v>
      </c>
      <c r="T24" s="21" t="s">
        <v>50</v>
      </c>
      <c r="U24" s="16">
        <f t="shared" si="1"/>
        <v>773283</v>
      </c>
    </row>
    <row r="25" spans="1:21" s="23" customFormat="1" ht="12.5" thickBot="1" x14ac:dyDescent="0.4">
      <c r="A25" s="18" t="s">
        <v>20</v>
      </c>
      <c r="B25" s="19">
        <v>46113</v>
      </c>
      <c r="C25" s="20" t="s">
        <v>29</v>
      </c>
      <c r="D25" s="20" t="s">
        <v>78</v>
      </c>
      <c r="E25" s="20" t="s">
        <v>23</v>
      </c>
      <c r="F25" s="20" t="s">
        <v>49</v>
      </c>
      <c r="G25" s="21">
        <v>111478</v>
      </c>
      <c r="H25" s="21">
        <v>66160</v>
      </c>
      <c r="I25" s="21">
        <v>0</v>
      </c>
      <c r="J25" s="21">
        <v>13470</v>
      </c>
      <c r="K25" s="21">
        <v>2444</v>
      </c>
      <c r="L25" s="21">
        <v>2500</v>
      </c>
      <c r="M25" s="21">
        <v>2214</v>
      </c>
      <c r="N25" s="21">
        <v>12163</v>
      </c>
      <c r="O25" s="21">
        <v>4000</v>
      </c>
      <c r="P25" s="21">
        <v>1380</v>
      </c>
      <c r="Q25" s="21">
        <v>1833</v>
      </c>
      <c r="R25" s="21">
        <v>2540</v>
      </c>
      <c r="S25" s="21">
        <v>0</v>
      </c>
      <c r="T25" s="21"/>
      <c r="U25" s="16">
        <f t="shared" si="1"/>
        <v>220182</v>
      </c>
    </row>
    <row r="26" spans="1:21" s="22" customFormat="1" ht="15" thickBot="1" x14ac:dyDescent="0.4">
      <c r="A26" s="18" t="s">
        <v>20</v>
      </c>
      <c r="B26" s="19">
        <v>46113</v>
      </c>
      <c r="C26" s="20" t="s">
        <v>51</v>
      </c>
      <c r="D26" s="20" t="s">
        <v>78</v>
      </c>
      <c r="E26" s="20" t="s">
        <v>23</v>
      </c>
      <c r="F26" s="20" t="s">
        <v>49</v>
      </c>
      <c r="G26" s="21">
        <v>111478</v>
      </c>
      <c r="H26" s="21">
        <v>33080</v>
      </c>
      <c r="I26" s="21">
        <v>0</v>
      </c>
      <c r="J26" s="21">
        <v>13470</v>
      </c>
      <c r="K26" s="21">
        <v>2760</v>
      </c>
      <c r="L26" s="21">
        <v>2650</v>
      </c>
      <c r="M26" s="21">
        <v>2214</v>
      </c>
      <c r="N26" s="21">
        <v>0</v>
      </c>
      <c r="O26" s="21">
        <v>4000</v>
      </c>
      <c r="P26" s="21">
        <v>1380</v>
      </c>
      <c r="Q26" s="21">
        <v>1833</v>
      </c>
      <c r="R26" s="21">
        <v>2540</v>
      </c>
      <c r="S26" s="21">
        <v>0</v>
      </c>
      <c r="T26" s="21"/>
      <c r="U26" s="16">
        <f t="shared" si="1"/>
        <v>175405</v>
      </c>
    </row>
    <row r="27" spans="1:21" s="22" customFormat="1" ht="15" thickBot="1" x14ac:dyDescent="0.4">
      <c r="A27" s="18" t="s">
        <v>20</v>
      </c>
      <c r="B27" s="19">
        <v>46113</v>
      </c>
      <c r="C27" s="20" t="s">
        <v>52</v>
      </c>
      <c r="D27" s="20" t="s">
        <v>79</v>
      </c>
      <c r="E27" s="20" t="s">
        <v>23</v>
      </c>
      <c r="F27" s="20" t="s">
        <v>49</v>
      </c>
      <c r="G27" s="21">
        <v>1602351</v>
      </c>
      <c r="H27" s="21">
        <v>260087</v>
      </c>
      <c r="I27" s="21">
        <v>106840</v>
      </c>
      <c r="J27" s="21">
        <v>171850</v>
      </c>
      <c r="K27" s="21">
        <v>39526.5</v>
      </c>
      <c r="L27" s="21">
        <v>27750</v>
      </c>
      <c r="M27" s="21">
        <v>95105</v>
      </c>
      <c r="N27" s="21">
        <v>9591</v>
      </c>
      <c r="O27" s="21">
        <v>25500</v>
      </c>
      <c r="P27" s="21">
        <v>19175</v>
      </c>
      <c r="Q27" s="21">
        <v>15000</v>
      </c>
      <c r="R27" s="21">
        <v>8654</v>
      </c>
      <c r="S27" s="21">
        <v>4000</v>
      </c>
      <c r="T27" s="21" t="s">
        <v>53</v>
      </c>
      <c r="U27" s="16">
        <f t="shared" si="1"/>
        <v>2385429.5</v>
      </c>
    </row>
    <row r="28" spans="1:21" s="22" customFormat="1" ht="15" thickBot="1" x14ac:dyDescent="0.4">
      <c r="A28" s="18" t="s">
        <v>20</v>
      </c>
      <c r="B28" s="19">
        <v>46113</v>
      </c>
      <c r="C28" s="20" t="s">
        <v>54</v>
      </c>
      <c r="D28" s="20" t="s">
        <v>79</v>
      </c>
      <c r="E28" s="20" t="s">
        <v>23</v>
      </c>
      <c r="F28" s="20" t="s">
        <v>49</v>
      </c>
      <c r="G28" s="21">
        <v>895563</v>
      </c>
      <c r="H28" s="21">
        <v>65021</v>
      </c>
      <c r="I28" s="21">
        <v>92950</v>
      </c>
      <c r="J28" s="21">
        <v>16336</v>
      </c>
      <c r="K28" s="21">
        <v>39526.5</v>
      </c>
      <c r="L28" s="21">
        <v>7200</v>
      </c>
      <c r="M28" s="21">
        <v>58000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/>
      <c r="U28" s="16">
        <f t="shared" si="1"/>
        <v>1174596.5</v>
      </c>
    </row>
    <row r="29" spans="1:21" s="22" customFormat="1" ht="15" thickBot="1" x14ac:dyDescent="0.4">
      <c r="A29" s="18" t="s">
        <v>20</v>
      </c>
      <c r="B29" s="19">
        <v>46113</v>
      </c>
      <c r="C29" s="20" t="s">
        <v>55</v>
      </c>
      <c r="D29" s="20" t="s">
        <v>82</v>
      </c>
      <c r="E29" s="20" t="s">
        <v>23</v>
      </c>
      <c r="F29" s="20" t="s">
        <v>49</v>
      </c>
      <c r="G29" s="21">
        <v>29221</v>
      </c>
      <c r="H29" s="21">
        <v>30988</v>
      </c>
      <c r="I29" s="21">
        <f>2600+253875</f>
        <v>256475</v>
      </c>
      <c r="J29" s="21">
        <v>52897</v>
      </c>
      <c r="K29" s="21">
        <v>3500</v>
      </c>
      <c r="L29" s="21">
        <v>5800</v>
      </c>
      <c r="M29" s="21">
        <v>1960</v>
      </c>
      <c r="N29" s="21">
        <v>0</v>
      </c>
      <c r="O29" s="21">
        <v>3433.3333333333335</v>
      </c>
      <c r="P29" s="21">
        <v>0</v>
      </c>
      <c r="Q29" s="21">
        <v>1600</v>
      </c>
      <c r="R29" s="21">
        <v>1805.3333333333333</v>
      </c>
      <c r="S29" s="21"/>
      <c r="T29" s="21"/>
      <c r="U29" s="16">
        <f t="shared" si="1"/>
        <v>387679.66666666663</v>
      </c>
    </row>
    <row r="30" spans="1:21" s="22" customFormat="1" ht="15" thickBot="1" x14ac:dyDescent="0.4">
      <c r="A30" s="18" t="s">
        <v>20</v>
      </c>
      <c r="B30" s="19">
        <v>46113</v>
      </c>
      <c r="C30" s="20" t="s">
        <v>38</v>
      </c>
      <c r="D30" s="20" t="s">
        <v>82</v>
      </c>
      <c r="E30" s="20" t="s">
        <v>23</v>
      </c>
      <c r="F30" s="20" t="s">
        <v>49</v>
      </c>
      <c r="G30" s="21">
        <v>101100</v>
      </c>
      <c r="H30" s="21">
        <v>30988</v>
      </c>
      <c r="I30" s="21">
        <v>95550</v>
      </c>
      <c r="J30" s="21">
        <v>52897</v>
      </c>
      <c r="K30" s="21">
        <v>2450</v>
      </c>
      <c r="L30" s="21">
        <v>3200</v>
      </c>
      <c r="M30" s="21">
        <v>15094</v>
      </c>
      <c r="N30" s="21">
        <v>5000</v>
      </c>
      <c r="O30" s="21">
        <v>3433.3333333333335</v>
      </c>
      <c r="P30" s="21">
        <v>2568</v>
      </c>
      <c r="Q30" s="21">
        <v>1600</v>
      </c>
      <c r="R30" s="21">
        <v>1805.3333333333333</v>
      </c>
      <c r="S30" s="21"/>
      <c r="T30" s="21"/>
      <c r="U30" s="16">
        <f t="shared" si="1"/>
        <v>315685.66666666663</v>
      </c>
    </row>
    <row r="31" spans="1:21" s="22" customFormat="1" ht="15" thickBot="1" x14ac:dyDescent="0.4">
      <c r="A31" s="18" t="s">
        <v>20</v>
      </c>
      <c r="B31" s="19">
        <v>46113</v>
      </c>
      <c r="C31" s="20" t="s">
        <v>33</v>
      </c>
      <c r="D31" s="20" t="s">
        <v>82</v>
      </c>
      <c r="E31" s="20" t="s">
        <v>23</v>
      </c>
      <c r="F31" s="20" t="s">
        <v>49</v>
      </c>
      <c r="G31" s="21">
        <v>4133204</v>
      </c>
      <c r="H31" s="21">
        <v>464829</v>
      </c>
      <c r="I31" s="21">
        <v>359750</v>
      </c>
      <c r="J31" s="21">
        <v>52897</v>
      </c>
      <c r="K31" s="21">
        <v>45079</v>
      </c>
      <c r="L31" s="21">
        <v>75900</v>
      </c>
      <c r="M31" s="21">
        <v>22802</v>
      </c>
      <c r="N31" s="21">
        <v>14020</v>
      </c>
      <c r="O31" s="21">
        <v>3433.3333333333335</v>
      </c>
      <c r="P31" s="21">
        <v>10652</v>
      </c>
      <c r="Q31" s="21">
        <v>1600</v>
      </c>
      <c r="R31" s="21">
        <v>1805.3333333333333</v>
      </c>
      <c r="S31" s="21">
        <v>3730</v>
      </c>
      <c r="T31" s="21" t="s">
        <v>56</v>
      </c>
      <c r="U31" s="16">
        <f t="shared" si="1"/>
        <v>5189701.666666666</v>
      </c>
    </row>
    <row r="32" spans="1:21" s="22" customFormat="1" ht="15" thickBot="1" x14ac:dyDescent="0.4">
      <c r="A32" s="18" t="s">
        <v>20</v>
      </c>
      <c r="B32" s="19">
        <v>46113</v>
      </c>
      <c r="C32" s="20" t="s">
        <v>33</v>
      </c>
      <c r="D32" s="20" t="s">
        <v>57</v>
      </c>
      <c r="E32" s="20" t="s">
        <v>32</v>
      </c>
      <c r="F32" s="20" t="s">
        <v>49</v>
      </c>
      <c r="G32" s="21">
        <v>3179120</v>
      </c>
      <c r="H32" s="21">
        <v>354891</v>
      </c>
      <c r="I32" s="21">
        <v>232000</v>
      </c>
      <c r="J32" s="21">
        <v>71888</v>
      </c>
      <c r="K32" s="21">
        <v>20196</v>
      </c>
      <c r="L32" s="21">
        <v>19206</v>
      </c>
      <c r="M32" s="21">
        <v>21251</v>
      </c>
      <c r="N32" s="21">
        <v>10130</v>
      </c>
      <c r="O32" s="21">
        <v>5000</v>
      </c>
      <c r="P32" s="21">
        <v>10973</v>
      </c>
      <c r="Q32" s="21">
        <v>0</v>
      </c>
      <c r="R32" s="21">
        <v>3442</v>
      </c>
      <c r="S32" s="21">
        <v>6840</v>
      </c>
      <c r="T32" s="21" t="s">
        <v>56</v>
      </c>
      <c r="U32" s="16">
        <f t="shared" si="1"/>
        <v>3934937</v>
      </c>
    </row>
    <row r="33" spans="1:21" s="22" customFormat="1" ht="15" thickBot="1" x14ac:dyDescent="0.4">
      <c r="A33" s="18" t="s">
        <v>20</v>
      </c>
      <c r="B33" s="19">
        <v>46113</v>
      </c>
      <c r="C33" s="20" t="s">
        <v>33</v>
      </c>
      <c r="D33" s="20" t="s">
        <v>58</v>
      </c>
      <c r="E33" s="20" t="s">
        <v>23</v>
      </c>
      <c r="F33" s="20" t="s">
        <v>49</v>
      </c>
      <c r="G33" s="21">
        <v>2584690.9699999997</v>
      </c>
      <c r="H33" s="20">
        <v>739229</v>
      </c>
      <c r="I33" s="21">
        <v>141400</v>
      </c>
      <c r="J33" s="21">
        <v>75125</v>
      </c>
      <c r="K33" s="21">
        <v>53436</v>
      </c>
      <c r="L33" s="21">
        <v>23274</v>
      </c>
      <c r="M33" s="21">
        <v>7017</v>
      </c>
      <c r="N33" s="21">
        <v>8695</v>
      </c>
      <c r="O33" s="21">
        <v>15000</v>
      </c>
      <c r="P33" s="21">
        <v>32600</v>
      </c>
      <c r="Q33" s="21">
        <v>0</v>
      </c>
      <c r="R33" s="21">
        <v>6042</v>
      </c>
      <c r="S33" s="21">
        <v>7296</v>
      </c>
      <c r="T33" s="21" t="s">
        <v>56</v>
      </c>
      <c r="U33" s="16">
        <f t="shared" si="1"/>
        <v>3693804.9699999997</v>
      </c>
    </row>
    <row r="34" spans="1:21" s="22" customFormat="1" ht="15" thickBot="1" x14ac:dyDescent="0.4">
      <c r="A34" s="18" t="s">
        <v>20</v>
      </c>
      <c r="B34" s="19">
        <v>46113</v>
      </c>
      <c r="C34" s="20" t="s">
        <v>59</v>
      </c>
      <c r="D34" s="20" t="s">
        <v>60</v>
      </c>
      <c r="E34" s="20" t="s">
        <v>32</v>
      </c>
      <c r="F34" s="20" t="s">
        <v>61</v>
      </c>
      <c r="G34" s="21">
        <v>75245</v>
      </c>
      <c r="H34" s="21">
        <v>186000</v>
      </c>
      <c r="I34" s="21">
        <v>0</v>
      </c>
      <c r="J34" s="21">
        <v>11877</v>
      </c>
      <c r="K34" s="21">
        <v>0</v>
      </c>
      <c r="L34" s="21"/>
      <c r="M34" s="21">
        <v>15850</v>
      </c>
      <c r="N34" s="21"/>
      <c r="O34" s="21"/>
      <c r="P34" s="21"/>
      <c r="Q34" s="21"/>
      <c r="R34" s="21"/>
      <c r="S34" s="21"/>
      <c r="T34" s="21"/>
      <c r="U34" s="16">
        <f t="shared" si="1"/>
        <v>288972</v>
      </c>
    </row>
    <row r="35" spans="1:21" s="23" customFormat="1" ht="12.5" thickBot="1" x14ac:dyDescent="0.4">
      <c r="A35" s="18" t="s">
        <v>20</v>
      </c>
      <c r="B35" s="19">
        <v>46113</v>
      </c>
      <c r="C35" s="20" t="s">
        <v>83</v>
      </c>
      <c r="D35" s="20" t="s">
        <v>62</v>
      </c>
      <c r="E35" s="20" t="s">
        <v>32</v>
      </c>
      <c r="F35" s="20" t="s">
        <v>61</v>
      </c>
      <c r="G35" s="21">
        <v>295888</v>
      </c>
      <c r="H35" s="21">
        <v>59568</v>
      </c>
      <c r="I35" s="21">
        <v>0</v>
      </c>
      <c r="J35" s="21">
        <v>3324</v>
      </c>
      <c r="K35" s="21">
        <v>6136</v>
      </c>
      <c r="L35" s="21">
        <v>2400</v>
      </c>
      <c r="M35" s="21">
        <v>2537</v>
      </c>
      <c r="N35" s="21">
        <v>12587</v>
      </c>
      <c r="O35" s="21">
        <v>0</v>
      </c>
      <c r="P35" s="21">
        <v>0</v>
      </c>
      <c r="Q35" s="21">
        <v>777</v>
      </c>
      <c r="R35" s="21">
        <v>0</v>
      </c>
      <c r="S35" s="21">
        <v>1700</v>
      </c>
      <c r="T35" s="21"/>
      <c r="U35" s="16">
        <f t="shared" si="1"/>
        <v>384917</v>
      </c>
    </row>
    <row r="36" spans="1:21" s="22" customFormat="1" ht="15" thickBot="1" x14ac:dyDescent="0.4">
      <c r="A36" s="18" t="s">
        <v>20</v>
      </c>
      <c r="B36" s="19">
        <v>46113</v>
      </c>
      <c r="C36" s="20" t="s">
        <v>63</v>
      </c>
      <c r="D36" s="20" t="s">
        <v>64</v>
      </c>
      <c r="E36" s="20" t="s">
        <v>23</v>
      </c>
      <c r="F36" s="20" t="s">
        <v>61</v>
      </c>
      <c r="G36" s="21">
        <v>269246</v>
      </c>
      <c r="H36" s="21">
        <v>14386.666666666666</v>
      </c>
      <c r="I36" s="21">
        <v>0</v>
      </c>
      <c r="J36" s="21">
        <v>36234.75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/>
      <c r="R36" s="21">
        <v>0</v>
      </c>
      <c r="S36" s="21"/>
      <c r="T36" s="21"/>
      <c r="U36" s="16">
        <f t="shared" si="1"/>
        <v>319867.41666666669</v>
      </c>
    </row>
    <row r="37" spans="1:21" s="22" customFormat="1" ht="15" thickBot="1" x14ac:dyDescent="0.4">
      <c r="A37" s="18" t="s">
        <v>20</v>
      </c>
      <c r="B37" s="19">
        <v>46113</v>
      </c>
      <c r="C37" s="20" t="s">
        <v>65</v>
      </c>
      <c r="D37" s="20" t="s">
        <v>64</v>
      </c>
      <c r="E37" s="20" t="s">
        <v>23</v>
      </c>
      <c r="F37" s="20" t="s">
        <v>61</v>
      </c>
      <c r="G37" s="21">
        <v>0</v>
      </c>
      <c r="H37" s="21">
        <v>14386.666666666666</v>
      </c>
      <c r="I37" s="21">
        <v>0</v>
      </c>
      <c r="J37" s="21">
        <v>36234.75</v>
      </c>
      <c r="K37" s="21">
        <v>0</v>
      </c>
      <c r="L37" s="21">
        <v>0</v>
      </c>
      <c r="M37" s="21">
        <v>0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/>
      <c r="U37" s="16">
        <f t="shared" si="1"/>
        <v>50621.416666666664</v>
      </c>
    </row>
    <row r="38" spans="1:21" s="22" customFormat="1" ht="15" thickBot="1" x14ac:dyDescent="0.4">
      <c r="A38" s="18" t="s">
        <v>20</v>
      </c>
      <c r="B38" s="19">
        <v>46113</v>
      </c>
      <c r="C38" s="20" t="s">
        <v>81</v>
      </c>
      <c r="D38" s="20" t="s">
        <v>64</v>
      </c>
      <c r="E38" s="20" t="s">
        <v>23</v>
      </c>
      <c r="F38" s="20" t="s">
        <v>61</v>
      </c>
      <c r="G38" s="21">
        <v>208190</v>
      </c>
      <c r="H38" s="21">
        <v>43160</v>
      </c>
      <c r="I38" s="21">
        <v>0</v>
      </c>
      <c r="J38" s="21">
        <v>36234.75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>
        <v>0</v>
      </c>
      <c r="Q38" s="21">
        <v>0</v>
      </c>
      <c r="R38" s="21">
        <v>0</v>
      </c>
      <c r="S38" s="21">
        <v>0</v>
      </c>
      <c r="T38" s="21"/>
      <c r="U38" s="16">
        <f t="shared" si="1"/>
        <v>287584.75</v>
      </c>
    </row>
    <row r="39" spans="1:21" s="22" customFormat="1" ht="15" thickBot="1" x14ac:dyDescent="0.4">
      <c r="A39" s="18" t="s">
        <v>20</v>
      </c>
      <c r="B39" s="19">
        <v>46113</v>
      </c>
      <c r="C39" s="20" t="s">
        <v>66</v>
      </c>
      <c r="D39" s="20" t="s">
        <v>67</v>
      </c>
      <c r="E39" s="20" t="s">
        <v>32</v>
      </c>
      <c r="F39" s="20" t="s">
        <v>61</v>
      </c>
      <c r="G39" s="21">
        <v>2766648</v>
      </c>
      <c r="H39" s="21">
        <v>424323.37</v>
      </c>
      <c r="I39" s="21">
        <v>0</v>
      </c>
      <c r="J39" s="21">
        <v>177377</v>
      </c>
      <c r="K39" s="21">
        <v>0</v>
      </c>
      <c r="L39" s="21">
        <v>10890</v>
      </c>
      <c r="M39" s="21">
        <v>9375</v>
      </c>
      <c r="N39" s="21">
        <v>9266</v>
      </c>
      <c r="O39" s="21">
        <v>8000</v>
      </c>
      <c r="P39" s="21">
        <v>0</v>
      </c>
      <c r="Q39" s="21">
        <v>0</v>
      </c>
      <c r="R39" s="21">
        <v>9584</v>
      </c>
      <c r="S39" s="21">
        <v>280749</v>
      </c>
      <c r="T39" s="21"/>
      <c r="U39" s="16">
        <f t="shared" si="1"/>
        <v>3696212.37</v>
      </c>
    </row>
    <row r="40" spans="1:21" s="22" customFormat="1" ht="15" thickBot="1" x14ac:dyDescent="0.4">
      <c r="A40" s="18" t="s">
        <v>20</v>
      </c>
      <c r="B40" s="19">
        <v>46113</v>
      </c>
      <c r="C40" s="20" t="s">
        <v>38</v>
      </c>
      <c r="D40" s="20" t="s">
        <v>64</v>
      </c>
      <c r="E40" s="20" t="s">
        <v>23</v>
      </c>
      <c r="F40" s="20" t="s">
        <v>61</v>
      </c>
      <c r="G40" s="21">
        <v>57558</v>
      </c>
      <c r="H40" s="21">
        <v>14386.666666666666</v>
      </c>
      <c r="I40" s="21">
        <v>100100</v>
      </c>
      <c r="J40" s="21">
        <v>36234.75</v>
      </c>
      <c r="K40" s="21">
        <v>0</v>
      </c>
      <c r="L40" s="21">
        <v>0</v>
      </c>
      <c r="M40" s="21">
        <v>2168</v>
      </c>
      <c r="N40" s="21">
        <v>0</v>
      </c>
      <c r="O40" s="21">
        <v>0</v>
      </c>
      <c r="P40" s="21">
        <v>0</v>
      </c>
      <c r="Q40" s="21"/>
      <c r="R40" s="21">
        <v>0</v>
      </c>
      <c r="S40" s="21">
        <v>0</v>
      </c>
      <c r="T40" s="21"/>
      <c r="U40" s="16">
        <f t="shared" si="1"/>
        <v>210447.41666666669</v>
      </c>
    </row>
    <row r="41" spans="1:21" s="22" customFormat="1" ht="15" thickBot="1" x14ac:dyDescent="0.4">
      <c r="A41" s="18" t="s">
        <v>20</v>
      </c>
      <c r="B41" s="19">
        <v>46113</v>
      </c>
      <c r="C41" s="20" t="s">
        <v>68</v>
      </c>
      <c r="D41" s="20" t="s">
        <v>69</v>
      </c>
      <c r="E41" s="20" t="s">
        <v>32</v>
      </c>
      <c r="F41" s="20" t="s">
        <v>61</v>
      </c>
      <c r="G41" s="21">
        <v>873433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75433</v>
      </c>
      <c r="T41" s="21"/>
      <c r="U41" s="16">
        <f t="shared" si="1"/>
        <v>948866</v>
      </c>
    </row>
    <row r="42" spans="1:21" s="29" customFormat="1" ht="12.5" thickBot="1" x14ac:dyDescent="0.4">
      <c r="A42" s="25" t="s">
        <v>20</v>
      </c>
      <c r="B42" s="26">
        <v>46113</v>
      </c>
      <c r="C42" s="27" t="s">
        <v>83</v>
      </c>
      <c r="D42" s="27" t="s">
        <v>70</v>
      </c>
      <c r="E42" s="27" t="s">
        <v>32</v>
      </c>
      <c r="F42" s="27" t="s">
        <v>61</v>
      </c>
      <c r="G42" s="28">
        <v>535557</v>
      </c>
      <c r="H42" s="28">
        <v>69561</v>
      </c>
      <c r="I42" s="28">
        <v>43884</v>
      </c>
      <c r="J42" s="28">
        <v>16882</v>
      </c>
      <c r="K42" s="28">
        <v>5526</v>
      </c>
      <c r="L42" s="28">
        <v>2462</v>
      </c>
      <c r="M42" s="28">
        <v>2700</v>
      </c>
      <c r="N42" s="28">
        <v>9450</v>
      </c>
      <c r="O42" s="28">
        <v>0</v>
      </c>
      <c r="P42" s="28">
        <v>0</v>
      </c>
      <c r="Q42" s="28">
        <v>1400</v>
      </c>
      <c r="R42" s="28">
        <v>0</v>
      </c>
      <c r="S42" s="28">
        <v>0</v>
      </c>
      <c r="T42" s="28"/>
      <c r="U42" s="16">
        <f t="shared" si="1"/>
        <v>687422</v>
      </c>
    </row>
    <row r="43" spans="1:21" s="34" customFormat="1" ht="12.5" thickBot="1" x14ac:dyDescent="0.4">
      <c r="A43" s="30" t="s">
        <v>20</v>
      </c>
      <c r="B43" s="31">
        <v>46143</v>
      </c>
      <c r="C43" s="32" t="s">
        <v>21</v>
      </c>
      <c r="D43" s="32" t="s">
        <v>22</v>
      </c>
      <c r="E43" s="32" t="s">
        <v>23</v>
      </c>
      <c r="F43" s="32" t="s">
        <v>40</v>
      </c>
      <c r="G43" s="32">
        <v>129180</v>
      </c>
      <c r="H43" s="32">
        <v>94509</v>
      </c>
      <c r="I43" s="32">
        <v>0</v>
      </c>
      <c r="J43" s="33">
        <f>24982/4</f>
        <v>6245.5</v>
      </c>
      <c r="K43" s="32">
        <v>4744</v>
      </c>
      <c r="L43" s="32">
        <v>3040</v>
      </c>
      <c r="M43" s="32">
        <v>32035</v>
      </c>
      <c r="N43" s="32">
        <v>0</v>
      </c>
      <c r="O43" s="32">
        <v>0</v>
      </c>
      <c r="P43" s="32">
        <v>0</v>
      </c>
      <c r="Q43" s="32">
        <v>3125</v>
      </c>
      <c r="R43" s="32">
        <f>5416/4</f>
        <v>1354</v>
      </c>
      <c r="S43" s="32">
        <v>5000</v>
      </c>
      <c r="T43" s="32" t="s">
        <v>71</v>
      </c>
      <c r="U43" s="16">
        <f t="shared" si="1"/>
        <v>279232.5</v>
      </c>
    </row>
    <row r="44" spans="1:21" s="39" customFormat="1" ht="15" thickBot="1" x14ac:dyDescent="0.4">
      <c r="A44" s="35" t="s">
        <v>20</v>
      </c>
      <c r="B44" s="36">
        <v>46143</v>
      </c>
      <c r="C44" s="37" t="s">
        <v>26</v>
      </c>
      <c r="D44" s="37" t="s">
        <v>22</v>
      </c>
      <c r="E44" s="37" t="s">
        <v>23</v>
      </c>
      <c r="F44" s="37" t="s">
        <v>40</v>
      </c>
      <c r="G44" s="37">
        <v>511756</v>
      </c>
      <c r="H44" s="38">
        <v>56632.5</v>
      </c>
      <c r="I44" s="37">
        <v>0</v>
      </c>
      <c r="J44" s="38">
        <v>6246</v>
      </c>
      <c r="K44" s="37">
        <v>12484</v>
      </c>
      <c r="L44" s="37">
        <v>6800</v>
      </c>
      <c r="M44" s="37">
        <v>56404</v>
      </c>
      <c r="N44" s="37">
        <v>5000</v>
      </c>
      <c r="O44" s="37">
        <v>3334</v>
      </c>
      <c r="P44" s="37">
        <v>10950</v>
      </c>
      <c r="Q44" s="37">
        <v>3125</v>
      </c>
      <c r="R44" s="37">
        <v>1354</v>
      </c>
      <c r="S44" s="37">
        <v>0</v>
      </c>
      <c r="T44" s="37"/>
      <c r="U44" s="16">
        <f t="shared" si="1"/>
        <v>674085.5</v>
      </c>
    </row>
    <row r="45" spans="1:21" s="39" customFormat="1" ht="15" thickBot="1" x14ac:dyDescent="0.4">
      <c r="A45" s="35" t="s">
        <v>20</v>
      </c>
      <c r="B45" s="36">
        <v>46143</v>
      </c>
      <c r="C45" s="37" t="s">
        <v>28</v>
      </c>
      <c r="D45" s="37" t="s">
        <v>22</v>
      </c>
      <c r="E45" s="37" t="s">
        <v>23</v>
      </c>
      <c r="F45" s="37" t="s">
        <v>40</v>
      </c>
      <c r="G45" s="37">
        <v>95403</v>
      </c>
      <c r="H45" s="37">
        <v>0</v>
      </c>
      <c r="I45" s="37">
        <v>0</v>
      </c>
      <c r="J45" s="38">
        <v>6246</v>
      </c>
      <c r="K45" s="37">
        <v>2056</v>
      </c>
      <c r="L45" s="37">
        <v>0</v>
      </c>
      <c r="M45" s="37">
        <v>0</v>
      </c>
      <c r="N45" s="37">
        <v>0</v>
      </c>
      <c r="O45" s="37">
        <v>3334</v>
      </c>
      <c r="P45" s="37">
        <v>0</v>
      </c>
      <c r="Q45" s="37">
        <v>3125</v>
      </c>
      <c r="R45" s="37">
        <v>1354</v>
      </c>
      <c r="S45" s="37">
        <v>0</v>
      </c>
      <c r="T45" s="37"/>
      <c r="U45" s="16">
        <f t="shared" si="1"/>
        <v>111518</v>
      </c>
    </row>
    <row r="46" spans="1:21" s="40" customFormat="1" ht="12.5" thickBot="1" x14ac:dyDescent="0.4">
      <c r="A46" s="35" t="s">
        <v>20</v>
      </c>
      <c r="B46" s="36">
        <v>46143</v>
      </c>
      <c r="C46" s="37" t="s">
        <v>29</v>
      </c>
      <c r="D46" s="37" t="s">
        <v>22</v>
      </c>
      <c r="E46" s="37" t="s">
        <v>23</v>
      </c>
      <c r="F46" s="37" t="s">
        <v>40</v>
      </c>
      <c r="G46" s="37">
        <v>48935</v>
      </c>
      <c r="H46" s="38">
        <v>56632.5</v>
      </c>
      <c r="I46" s="37">
        <v>12844</v>
      </c>
      <c r="J46" s="38">
        <v>6246</v>
      </c>
      <c r="K46" s="37">
        <v>6594</v>
      </c>
      <c r="L46" s="37">
        <v>6680</v>
      </c>
      <c r="M46" s="37">
        <v>14980</v>
      </c>
      <c r="N46" s="37">
        <v>0</v>
      </c>
      <c r="O46" s="37">
        <v>3334</v>
      </c>
      <c r="P46" s="37">
        <v>4000</v>
      </c>
      <c r="Q46" s="37">
        <v>3125</v>
      </c>
      <c r="R46" s="37">
        <v>1354</v>
      </c>
      <c r="S46" s="37">
        <v>0</v>
      </c>
      <c r="T46" s="37"/>
      <c r="U46" s="16">
        <f t="shared" si="1"/>
        <v>164724.5</v>
      </c>
    </row>
    <row r="47" spans="1:21" s="40" customFormat="1" ht="12.5" thickBot="1" x14ac:dyDescent="0.4">
      <c r="A47" s="35" t="s">
        <v>20</v>
      </c>
      <c r="B47" s="36">
        <v>46143</v>
      </c>
      <c r="C47" s="37" t="s">
        <v>83</v>
      </c>
      <c r="D47" s="37" t="s">
        <v>31</v>
      </c>
      <c r="E47" s="37" t="s">
        <v>32</v>
      </c>
      <c r="F47" s="37" t="s">
        <v>40</v>
      </c>
      <c r="G47" s="37">
        <v>238310</v>
      </c>
      <c r="H47" s="37">
        <v>52662</v>
      </c>
      <c r="I47" s="37">
        <v>0</v>
      </c>
      <c r="J47" s="38">
        <v>2541</v>
      </c>
      <c r="K47" s="37">
        <v>3516</v>
      </c>
      <c r="L47" s="37">
        <v>2100</v>
      </c>
      <c r="M47" s="37">
        <v>3850</v>
      </c>
      <c r="N47" s="37">
        <v>5000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/>
      <c r="U47" s="16">
        <f t="shared" si="1"/>
        <v>307979</v>
      </c>
    </row>
    <row r="48" spans="1:21" s="39" customFormat="1" ht="15" thickBot="1" x14ac:dyDescent="0.4">
      <c r="A48" s="35" t="s">
        <v>20</v>
      </c>
      <c r="B48" s="36">
        <v>46143</v>
      </c>
      <c r="C48" s="37" t="s">
        <v>33</v>
      </c>
      <c r="D48" s="37" t="s">
        <v>34</v>
      </c>
      <c r="E48" s="37" t="s">
        <v>32</v>
      </c>
      <c r="F48" s="37" t="s">
        <v>40</v>
      </c>
      <c r="G48" s="37">
        <v>3072714</v>
      </c>
      <c r="H48" s="37">
        <v>428252</v>
      </c>
      <c r="I48" s="37">
        <v>0</v>
      </c>
      <c r="J48" s="38">
        <v>194530</v>
      </c>
      <c r="K48" s="37">
        <v>28757</v>
      </c>
      <c r="L48" s="37">
        <v>16140</v>
      </c>
      <c r="M48" s="37">
        <v>34703</v>
      </c>
      <c r="N48" s="37">
        <v>5000</v>
      </c>
      <c r="O48" s="37">
        <v>15000</v>
      </c>
      <c r="P48" s="37">
        <v>0</v>
      </c>
      <c r="Q48" s="37">
        <v>15000</v>
      </c>
      <c r="R48" s="37">
        <v>4200</v>
      </c>
      <c r="S48" s="37">
        <v>2400</v>
      </c>
      <c r="T48" s="37" t="s">
        <v>72</v>
      </c>
      <c r="U48" s="16">
        <f t="shared" si="1"/>
        <v>3816696</v>
      </c>
    </row>
    <row r="49" spans="1:21" s="40" customFormat="1" ht="12.5" thickBot="1" x14ac:dyDescent="0.4">
      <c r="A49" s="35" t="s">
        <v>20</v>
      </c>
      <c r="B49" s="36">
        <v>46143</v>
      </c>
      <c r="C49" s="37" t="s">
        <v>87</v>
      </c>
      <c r="D49" s="37" t="s">
        <v>36</v>
      </c>
      <c r="E49" s="37" t="s">
        <v>23</v>
      </c>
      <c r="F49" s="37" t="s">
        <v>40</v>
      </c>
      <c r="G49" s="38">
        <v>194563</v>
      </c>
      <c r="H49" s="38">
        <v>35376</v>
      </c>
      <c r="I49" s="37">
        <v>78975</v>
      </c>
      <c r="J49" s="38">
        <v>16057.666666666666</v>
      </c>
      <c r="K49" s="37">
        <v>2408</v>
      </c>
      <c r="L49" s="37">
        <v>1679</v>
      </c>
      <c r="M49" s="38">
        <f>4300/3</f>
        <v>1433.3333333333333</v>
      </c>
      <c r="N49" s="37">
        <v>1000</v>
      </c>
      <c r="O49" s="37">
        <v>2333</v>
      </c>
      <c r="P49" s="37">
        <v>0</v>
      </c>
      <c r="Q49" s="37">
        <v>1333</v>
      </c>
      <c r="R49" s="37">
        <v>1770</v>
      </c>
      <c r="S49" s="37">
        <v>0</v>
      </c>
      <c r="T49" s="37"/>
      <c r="U49" s="16">
        <f t="shared" si="1"/>
        <v>336928</v>
      </c>
    </row>
    <row r="50" spans="1:21" s="39" customFormat="1" ht="15" thickBot="1" x14ac:dyDescent="0.4">
      <c r="A50" s="35" t="s">
        <v>20</v>
      </c>
      <c r="B50" s="36">
        <v>46143</v>
      </c>
      <c r="C50" s="37" t="s">
        <v>38</v>
      </c>
      <c r="D50" s="37" t="s">
        <v>36</v>
      </c>
      <c r="E50" s="37" t="s">
        <v>23</v>
      </c>
      <c r="F50" s="37" t="s">
        <v>40</v>
      </c>
      <c r="G50" s="38">
        <v>212499</v>
      </c>
      <c r="H50" s="38">
        <v>35376</v>
      </c>
      <c r="I50" s="37">
        <v>0</v>
      </c>
      <c r="J50" s="38">
        <v>16057.666666666666</v>
      </c>
      <c r="K50" s="37">
        <v>3128</v>
      </c>
      <c r="L50" s="37">
        <v>1679</v>
      </c>
      <c r="M50" s="37">
        <v>1433</v>
      </c>
      <c r="N50" s="37">
        <v>1000</v>
      </c>
      <c r="O50" s="37">
        <v>2333</v>
      </c>
      <c r="P50" s="37">
        <v>2777</v>
      </c>
      <c r="Q50" s="37">
        <v>1333</v>
      </c>
      <c r="R50" s="37">
        <v>1770</v>
      </c>
      <c r="S50" s="37">
        <v>0</v>
      </c>
      <c r="T50" s="37"/>
      <c r="U50" s="16">
        <f t="shared" si="1"/>
        <v>279385.66666666669</v>
      </c>
    </row>
    <row r="51" spans="1:21" s="40" customFormat="1" ht="12.5" thickBot="1" x14ac:dyDescent="0.4">
      <c r="A51" s="35" t="s">
        <v>20</v>
      </c>
      <c r="B51" s="36">
        <v>46143</v>
      </c>
      <c r="C51" s="37" t="s">
        <v>39</v>
      </c>
      <c r="D51" s="37" t="s">
        <v>36</v>
      </c>
      <c r="E51" s="37" t="s">
        <v>23</v>
      </c>
      <c r="F51" s="37" t="s">
        <v>40</v>
      </c>
      <c r="G51" s="38">
        <v>51271</v>
      </c>
      <c r="H51" s="38">
        <v>35376</v>
      </c>
      <c r="I51" s="37">
        <v>76076</v>
      </c>
      <c r="J51" s="38">
        <v>16057.666666666666</v>
      </c>
      <c r="K51" s="37">
        <v>2752</v>
      </c>
      <c r="L51" s="37">
        <v>1679</v>
      </c>
      <c r="M51" s="37">
        <v>1433</v>
      </c>
      <c r="N51" s="37">
        <v>1000</v>
      </c>
      <c r="O51" s="37">
        <v>2333</v>
      </c>
      <c r="P51" s="37">
        <v>0</v>
      </c>
      <c r="Q51" s="37">
        <v>1333</v>
      </c>
      <c r="R51" s="37">
        <v>1770</v>
      </c>
      <c r="S51" s="37">
        <v>0</v>
      </c>
      <c r="T51" s="37"/>
      <c r="U51" s="16">
        <f t="shared" si="1"/>
        <v>191080.66666666666</v>
      </c>
    </row>
    <row r="52" spans="1:21" s="39" customFormat="1" ht="15" thickBot="1" x14ac:dyDescent="0.4">
      <c r="A52" s="35" t="s">
        <v>20</v>
      </c>
      <c r="B52" s="36">
        <v>46143</v>
      </c>
      <c r="C52" s="37" t="s">
        <v>73</v>
      </c>
      <c r="D52" s="37" t="s">
        <v>74</v>
      </c>
      <c r="E52" s="37" t="s">
        <v>75</v>
      </c>
      <c r="F52" s="37" t="s">
        <v>40</v>
      </c>
      <c r="G52" s="37">
        <v>242279</v>
      </c>
      <c r="H52" s="37">
        <v>0</v>
      </c>
      <c r="I52" s="37">
        <v>0</v>
      </c>
      <c r="J52" s="38">
        <v>171403</v>
      </c>
      <c r="K52" s="37">
        <v>27920</v>
      </c>
      <c r="L52" s="37">
        <v>9612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/>
      <c r="U52" s="16">
        <f t="shared" si="1"/>
        <v>451214</v>
      </c>
    </row>
    <row r="53" spans="1:21" s="39" customFormat="1" ht="15" thickBot="1" x14ac:dyDescent="0.4">
      <c r="A53" s="35" t="s">
        <v>20</v>
      </c>
      <c r="B53" s="36">
        <v>46143</v>
      </c>
      <c r="C53" s="37" t="s">
        <v>33</v>
      </c>
      <c r="D53" s="37" t="s">
        <v>100</v>
      </c>
      <c r="E53" s="37" t="s">
        <v>32</v>
      </c>
      <c r="F53" s="37" t="s">
        <v>24</v>
      </c>
      <c r="G53" s="37">
        <v>10537469</v>
      </c>
      <c r="H53" s="37">
        <v>660747</v>
      </c>
      <c r="I53" s="37">
        <v>259000</v>
      </c>
      <c r="J53" s="38">
        <v>267449</v>
      </c>
      <c r="K53" s="37">
        <v>61640</v>
      </c>
      <c r="L53" s="37">
        <v>55104</v>
      </c>
      <c r="M53" s="37"/>
      <c r="N53" s="37"/>
      <c r="O53" s="37"/>
      <c r="P53" s="37"/>
      <c r="Q53" s="37"/>
      <c r="R53" s="37">
        <v>4900</v>
      </c>
      <c r="S53" s="37"/>
      <c r="T53" s="37"/>
      <c r="U53" s="16">
        <f t="shared" si="1"/>
        <v>11846309</v>
      </c>
    </row>
    <row r="54" spans="1:21" s="39" customFormat="1" ht="15" thickBot="1" x14ac:dyDescent="0.4">
      <c r="A54" s="35" t="s">
        <v>20</v>
      </c>
      <c r="B54" s="36">
        <v>46143</v>
      </c>
      <c r="C54" s="37" t="s">
        <v>33</v>
      </c>
      <c r="D54" s="37" t="s">
        <v>101</v>
      </c>
      <c r="E54" s="37" t="s">
        <v>32</v>
      </c>
      <c r="F54" s="37" t="s">
        <v>24</v>
      </c>
      <c r="G54" s="37">
        <v>3432140</v>
      </c>
      <c r="H54" s="38">
        <v>350199.85</v>
      </c>
      <c r="I54" s="37">
        <v>0</v>
      </c>
      <c r="J54" s="38">
        <v>90887</v>
      </c>
      <c r="K54" s="37">
        <v>40895</v>
      </c>
      <c r="L54" s="37">
        <v>21151</v>
      </c>
      <c r="M54" s="37"/>
      <c r="N54" s="37"/>
      <c r="O54" s="37"/>
      <c r="P54" s="37"/>
      <c r="Q54" s="37"/>
      <c r="R54" s="37">
        <v>5416</v>
      </c>
      <c r="S54" s="37"/>
      <c r="T54" s="37"/>
      <c r="U54" s="16">
        <f t="shared" si="1"/>
        <v>3940688.85</v>
      </c>
    </row>
    <row r="55" spans="1:21" s="39" customFormat="1" ht="15" thickBot="1" x14ac:dyDescent="0.4">
      <c r="A55" s="35" t="s">
        <v>20</v>
      </c>
      <c r="B55" s="36">
        <v>46143</v>
      </c>
      <c r="C55" s="37" t="s">
        <v>33</v>
      </c>
      <c r="D55" s="37" t="s">
        <v>102</v>
      </c>
      <c r="E55" s="37" t="s">
        <v>32</v>
      </c>
      <c r="F55" s="37" t="s">
        <v>24</v>
      </c>
      <c r="G55" s="37">
        <v>969707</v>
      </c>
      <c r="H55" s="38">
        <v>370503.03</v>
      </c>
      <c r="I55" s="37">
        <v>0</v>
      </c>
      <c r="J55" s="38">
        <v>267449</v>
      </c>
      <c r="K55" s="37">
        <v>45490</v>
      </c>
      <c r="L55" s="37">
        <v>24496</v>
      </c>
      <c r="M55" s="37">
        <v>26489</v>
      </c>
      <c r="N55" s="37">
        <v>0</v>
      </c>
      <c r="O55" s="38">
        <v>0</v>
      </c>
      <c r="P55" s="38">
        <v>0</v>
      </c>
      <c r="Q55" s="37">
        <v>0</v>
      </c>
      <c r="R55" s="38">
        <v>4900</v>
      </c>
      <c r="S55" s="37">
        <v>0</v>
      </c>
      <c r="T55" s="37"/>
      <c r="U55" s="16">
        <f t="shared" si="1"/>
        <v>1709034.03</v>
      </c>
    </row>
    <row r="56" spans="1:21" s="39" customFormat="1" ht="15" thickBot="1" x14ac:dyDescent="0.4">
      <c r="A56" s="35" t="s">
        <v>20</v>
      </c>
      <c r="B56" s="36">
        <v>46143</v>
      </c>
      <c r="C56" s="37" t="s">
        <v>33</v>
      </c>
      <c r="D56" s="37" t="s">
        <v>41</v>
      </c>
      <c r="E56" s="37" t="s">
        <v>32</v>
      </c>
      <c r="F56" s="37" t="s">
        <v>24</v>
      </c>
      <c r="G56" s="37">
        <v>2466058</v>
      </c>
      <c r="H56" s="37">
        <v>245652</v>
      </c>
      <c r="I56" s="37">
        <v>65420</v>
      </c>
      <c r="J56" s="38">
        <v>76873</v>
      </c>
      <c r="K56" s="38">
        <v>66171</v>
      </c>
      <c r="L56" s="37">
        <v>19710</v>
      </c>
      <c r="M56" s="37">
        <f>19368+12272</f>
        <v>31640</v>
      </c>
      <c r="N56" s="37">
        <v>0</v>
      </c>
      <c r="O56" s="38">
        <v>0</v>
      </c>
      <c r="P56" s="38">
        <v>0</v>
      </c>
      <c r="Q56" s="38">
        <v>0</v>
      </c>
      <c r="R56" s="37">
        <v>4900</v>
      </c>
      <c r="S56" s="37">
        <v>0</v>
      </c>
      <c r="T56" s="37"/>
      <c r="U56" s="16">
        <f t="shared" si="1"/>
        <v>2976424</v>
      </c>
    </row>
    <row r="57" spans="1:21" s="39" customFormat="1" ht="15" thickBot="1" x14ac:dyDescent="0.4">
      <c r="A57" s="35" t="s">
        <v>20</v>
      </c>
      <c r="B57" s="36">
        <v>46143</v>
      </c>
      <c r="C57" s="37" t="s">
        <v>42</v>
      </c>
      <c r="D57" s="37" t="s">
        <v>43</v>
      </c>
      <c r="E57" s="37" t="s">
        <v>32</v>
      </c>
      <c r="F57" s="37" t="s">
        <v>24</v>
      </c>
      <c r="G57" s="37">
        <v>117436</v>
      </c>
      <c r="H57" s="37">
        <v>56967</v>
      </c>
      <c r="I57" s="37">
        <v>0</v>
      </c>
      <c r="J57" s="38">
        <v>0</v>
      </c>
      <c r="K57" s="37">
        <v>10610</v>
      </c>
      <c r="L57" s="37">
        <v>2125</v>
      </c>
      <c r="M57" s="37">
        <v>0</v>
      </c>
      <c r="N57" s="37">
        <v>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/>
      <c r="U57" s="16">
        <f t="shared" si="1"/>
        <v>187138</v>
      </c>
    </row>
    <row r="58" spans="1:21" s="40" customFormat="1" ht="12.5" thickBot="1" x14ac:dyDescent="0.4">
      <c r="A58" s="35" t="s">
        <v>20</v>
      </c>
      <c r="B58" s="36">
        <v>46143</v>
      </c>
      <c r="C58" s="37" t="s">
        <v>29</v>
      </c>
      <c r="D58" s="37" t="s">
        <v>44</v>
      </c>
      <c r="E58" s="37" t="s">
        <v>23</v>
      </c>
      <c r="F58" s="37" t="s">
        <v>45</v>
      </c>
      <c r="G58" s="37">
        <v>34740</v>
      </c>
      <c r="H58" s="38">
        <v>50498</v>
      </c>
      <c r="I58" s="38">
        <v>2964</v>
      </c>
      <c r="J58" s="38">
        <v>6272</v>
      </c>
      <c r="K58" s="37">
        <v>2580</v>
      </c>
      <c r="L58" s="37">
        <v>930</v>
      </c>
      <c r="M58" s="37">
        <v>6540</v>
      </c>
      <c r="N58" s="37">
        <v>0</v>
      </c>
      <c r="O58" s="37">
        <v>0</v>
      </c>
      <c r="P58" s="37">
        <v>0</v>
      </c>
      <c r="Q58" s="37">
        <v>1500</v>
      </c>
      <c r="R58" s="37">
        <v>1302</v>
      </c>
      <c r="S58" s="38">
        <v>0</v>
      </c>
      <c r="T58" s="37"/>
      <c r="U58" s="16">
        <f t="shared" si="1"/>
        <v>107326</v>
      </c>
    </row>
    <row r="59" spans="1:21" s="39" customFormat="1" ht="15" thickBot="1" x14ac:dyDescent="0.4">
      <c r="A59" s="35" t="s">
        <v>20</v>
      </c>
      <c r="B59" s="36">
        <v>46143</v>
      </c>
      <c r="C59" s="37" t="s">
        <v>66</v>
      </c>
      <c r="D59" s="37" t="s">
        <v>44</v>
      </c>
      <c r="E59" s="37" t="s">
        <v>23</v>
      </c>
      <c r="F59" s="37" t="s">
        <v>45</v>
      </c>
      <c r="G59" s="37">
        <v>3232354</v>
      </c>
      <c r="H59" s="38">
        <v>264320</v>
      </c>
      <c r="I59" s="37">
        <v>0</v>
      </c>
      <c r="J59" s="38">
        <v>227094.63</v>
      </c>
      <c r="K59" s="37">
        <v>45473</v>
      </c>
      <c r="L59" s="37"/>
      <c r="M59" s="37"/>
      <c r="N59" s="37"/>
      <c r="O59" s="37"/>
      <c r="P59" s="37">
        <v>10500</v>
      </c>
      <c r="Q59" s="37"/>
      <c r="R59" s="37">
        <v>10353</v>
      </c>
      <c r="S59" s="37">
        <v>375499</v>
      </c>
      <c r="T59" s="37" t="s">
        <v>76</v>
      </c>
      <c r="U59" s="16">
        <f t="shared" si="1"/>
        <v>4165593.63</v>
      </c>
    </row>
    <row r="60" spans="1:21" s="39" customFormat="1" ht="15" thickBot="1" x14ac:dyDescent="0.4">
      <c r="A60" s="35" t="s">
        <v>20</v>
      </c>
      <c r="B60" s="36">
        <v>46143</v>
      </c>
      <c r="C60" s="37" t="s">
        <v>47</v>
      </c>
      <c r="D60" s="37" t="s">
        <v>44</v>
      </c>
      <c r="E60" s="37" t="s">
        <v>23</v>
      </c>
      <c r="F60" s="37" t="s">
        <v>45</v>
      </c>
      <c r="G60" s="37">
        <v>101954</v>
      </c>
      <c r="H60" s="38">
        <v>37873.5</v>
      </c>
      <c r="I60" s="37">
        <v>19830</v>
      </c>
      <c r="J60" s="38">
        <v>18153</v>
      </c>
      <c r="K60" s="37">
        <v>3280</v>
      </c>
      <c r="L60" s="37">
        <v>864</v>
      </c>
      <c r="M60" s="37">
        <v>6090</v>
      </c>
      <c r="N60" s="37">
        <v>0</v>
      </c>
      <c r="O60" s="37">
        <v>7000</v>
      </c>
      <c r="P60" s="37">
        <v>3168</v>
      </c>
      <c r="Q60" s="37">
        <v>0</v>
      </c>
      <c r="R60" s="37">
        <v>0</v>
      </c>
      <c r="S60" s="38">
        <v>0</v>
      </c>
      <c r="T60" s="37"/>
      <c r="U60" s="16">
        <f t="shared" si="1"/>
        <v>198212.5</v>
      </c>
    </row>
    <row r="61" spans="1:21" s="39" customFormat="1" ht="15" thickBot="1" x14ac:dyDescent="0.4">
      <c r="A61" s="35" t="s">
        <v>20</v>
      </c>
      <c r="B61" s="36">
        <v>46143</v>
      </c>
      <c r="C61" s="37" t="s">
        <v>48</v>
      </c>
      <c r="D61" s="37" t="s">
        <v>44</v>
      </c>
      <c r="E61" s="37" t="s">
        <v>23</v>
      </c>
      <c r="F61" s="37" t="s">
        <v>45</v>
      </c>
      <c r="G61" s="37">
        <v>196032</v>
      </c>
      <c r="H61" s="38">
        <v>37873.5</v>
      </c>
      <c r="I61" s="37">
        <f>1003+118248</f>
        <v>119251</v>
      </c>
      <c r="J61" s="38">
        <v>18153</v>
      </c>
      <c r="K61" s="37">
        <v>6212</v>
      </c>
      <c r="L61" s="37">
        <v>1350</v>
      </c>
      <c r="M61" s="37">
        <v>11155</v>
      </c>
      <c r="N61" s="37">
        <v>0</v>
      </c>
      <c r="O61" s="37">
        <v>7000</v>
      </c>
      <c r="P61" s="37">
        <v>5589</v>
      </c>
      <c r="Q61" s="37">
        <v>0</v>
      </c>
      <c r="R61" s="37">
        <v>0</v>
      </c>
      <c r="S61" s="38">
        <v>0</v>
      </c>
      <c r="T61" s="37"/>
      <c r="U61" s="16">
        <f t="shared" si="1"/>
        <v>402615.5</v>
      </c>
    </row>
    <row r="62" spans="1:21" s="39" customFormat="1" ht="15" thickBot="1" x14ac:dyDescent="0.4">
      <c r="A62" s="35" t="s">
        <v>20</v>
      </c>
      <c r="B62" s="36">
        <v>46143</v>
      </c>
      <c r="C62" s="37" t="s">
        <v>81</v>
      </c>
      <c r="D62" s="37" t="s">
        <v>80</v>
      </c>
      <c r="E62" s="37" t="s">
        <v>23</v>
      </c>
      <c r="F62" s="37" t="s">
        <v>49</v>
      </c>
      <c r="G62" s="37">
        <v>81379</v>
      </c>
      <c r="H62" s="37">
        <v>0</v>
      </c>
      <c r="I62" s="37">
        <v>13650</v>
      </c>
      <c r="J62" s="38">
        <v>0</v>
      </c>
      <c r="K62" s="37"/>
      <c r="L62" s="37"/>
      <c r="M62" s="37">
        <v>0</v>
      </c>
      <c r="N62" s="37"/>
      <c r="O62" s="37"/>
      <c r="P62" s="37"/>
      <c r="Q62" s="37"/>
      <c r="R62" s="37"/>
      <c r="S62" s="37"/>
      <c r="T62" s="37"/>
      <c r="U62" s="16">
        <f t="shared" si="1"/>
        <v>95029</v>
      </c>
    </row>
    <row r="63" spans="1:21" s="40" customFormat="1" ht="12.5" thickBot="1" x14ac:dyDescent="0.4">
      <c r="A63" s="35" t="s">
        <v>20</v>
      </c>
      <c r="B63" s="36">
        <v>46143</v>
      </c>
      <c r="C63" s="37" t="s">
        <v>83</v>
      </c>
      <c r="D63" s="37" t="s">
        <v>80</v>
      </c>
      <c r="E63" s="37" t="s">
        <v>23</v>
      </c>
      <c r="F63" s="37" t="s">
        <v>49</v>
      </c>
      <c r="G63" s="37">
        <v>487232</v>
      </c>
      <c r="H63" s="37">
        <v>67483</v>
      </c>
      <c r="I63" s="37">
        <v>38160</v>
      </c>
      <c r="J63" s="38">
        <v>46860</v>
      </c>
      <c r="K63" s="38">
        <v>0</v>
      </c>
      <c r="L63" s="37">
        <v>7050</v>
      </c>
      <c r="M63" s="37">
        <v>4500</v>
      </c>
      <c r="N63" s="37">
        <v>7410</v>
      </c>
      <c r="O63" s="37">
        <v>0</v>
      </c>
      <c r="P63" s="37">
        <v>0</v>
      </c>
      <c r="Q63" s="37">
        <v>0</v>
      </c>
      <c r="R63" s="37">
        <v>0</v>
      </c>
      <c r="S63" s="37">
        <v>0</v>
      </c>
      <c r="T63" s="37"/>
      <c r="U63" s="16">
        <f t="shared" si="1"/>
        <v>658695</v>
      </c>
    </row>
    <row r="64" spans="1:21" s="40" customFormat="1" ht="12.5" thickBot="1" x14ac:dyDescent="0.4">
      <c r="A64" s="35" t="s">
        <v>20</v>
      </c>
      <c r="B64" s="36">
        <v>46143</v>
      </c>
      <c r="C64" s="37" t="s">
        <v>29</v>
      </c>
      <c r="D64" s="37" t="s">
        <v>78</v>
      </c>
      <c r="E64" s="37" t="s">
        <v>23</v>
      </c>
      <c r="F64" s="37" t="s">
        <v>49</v>
      </c>
      <c r="G64" s="38">
        <v>111312.5</v>
      </c>
      <c r="H64" s="38">
        <v>66160</v>
      </c>
      <c r="I64" s="38">
        <v>1976</v>
      </c>
      <c r="J64" s="38">
        <v>12770</v>
      </c>
      <c r="K64" s="37">
        <v>2046</v>
      </c>
      <c r="L64" s="37">
        <v>2850</v>
      </c>
      <c r="M64" s="37">
        <v>4390</v>
      </c>
      <c r="N64" s="37">
        <v>5160</v>
      </c>
      <c r="O64" s="38">
        <v>4000</v>
      </c>
      <c r="P64" s="41">
        <v>1791</v>
      </c>
      <c r="Q64" s="38">
        <v>1833</v>
      </c>
      <c r="R64" s="38">
        <v>2540</v>
      </c>
      <c r="S64" s="38">
        <v>0</v>
      </c>
      <c r="T64" s="37"/>
      <c r="U64" s="16">
        <f t="shared" si="1"/>
        <v>216828.5</v>
      </c>
    </row>
    <row r="65" spans="1:21" s="39" customFormat="1" ht="15" thickBot="1" x14ac:dyDescent="0.4">
      <c r="A65" s="35" t="s">
        <v>20</v>
      </c>
      <c r="B65" s="36">
        <v>46143</v>
      </c>
      <c r="C65" s="37" t="s">
        <v>51</v>
      </c>
      <c r="D65" s="37" t="s">
        <v>78</v>
      </c>
      <c r="E65" s="37" t="s">
        <v>23</v>
      </c>
      <c r="F65" s="37" t="s">
        <v>49</v>
      </c>
      <c r="G65" s="38">
        <v>111312.5</v>
      </c>
      <c r="H65" s="41">
        <v>33080</v>
      </c>
      <c r="I65" s="37">
        <v>0</v>
      </c>
      <c r="J65" s="38">
        <v>12770</v>
      </c>
      <c r="K65" s="37">
        <v>2530</v>
      </c>
      <c r="L65" s="37">
        <v>2850</v>
      </c>
      <c r="M65" s="37">
        <v>4390</v>
      </c>
      <c r="N65" s="37">
        <v>0</v>
      </c>
      <c r="O65" s="38">
        <v>4000</v>
      </c>
      <c r="P65" s="41">
        <v>1791</v>
      </c>
      <c r="Q65" s="38">
        <v>1833</v>
      </c>
      <c r="R65" s="38">
        <v>2540</v>
      </c>
      <c r="S65" s="38">
        <v>0</v>
      </c>
      <c r="T65" s="37"/>
      <c r="U65" s="16">
        <f t="shared" si="1"/>
        <v>177096.5</v>
      </c>
    </row>
    <row r="66" spans="1:21" s="40" customFormat="1" ht="12.5" thickBot="1" x14ac:dyDescent="0.4">
      <c r="A66" s="35" t="s">
        <v>20</v>
      </c>
      <c r="B66" s="36">
        <v>46143</v>
      </c>
      <c r="C66" s="37" t="s">
        <v>52</v>
      </c>
      <c r="D66" s="37" t="s">
        <v>79</v>
      </c>
      <c r="E66" s="37" t="s">
        <v>23</v>
      </c>
      <c r="F66" s="37" t="s">
        <v>49</v>
      </c>
      <c r="G66" s="37">
        <v>1946856</v>
      </c>
      <c r="H66" s="41">
        <v>262663</v>
      </c>
      <c r="I66" s="37">
        <v>100760</v>
      </c>
      <c r="J66" s="38">
        <v>132312</v>
      </c>
      <c r="K66" s="37">
        <v>47000</v>
      </c>
      <c r="L66" s="37">
        <v>35550</v>
      </c>
      <c r="M66" s="37">
        <v>122232</v>
      </c>
      <c r="N66" s="37">
        <v>9405</v>
      </c>
      <c r="O66" s="38">
        <v>25500</v>
      </c>
      <c r="P66" s="41">
        <v>16097</v>
      </c>
      <c r="Q66" s="37">
        <v>15000</v>
      </c>
      <c r="R66" s="37">
        <v>8654</v>
      </c>
      <c r="S66" s="37">
        <v>4000</v>
      </c>
      <c r="T66" s="37" t="s">
        <v>77</v>
      </c>
      <c r="U66" s="16">
        <f t="shared" si="1"/>
        <v>2726029</v>
      </c>
    </row>
    <row r="67" spans="1:21" s="39" customFormat="1" ht="15" thickBot="1" x14ac:dyDescent="0.4">
      <c r="A67" s="35" t="s">
        <v>20</v>
      </c>
      <c r="B67" s="36">
        <v>46143</v>
      </c>
      <c r="C67" s="37" t="s">
        <v>54</v>
      </c>
      <c r="D67" s="37" t="s">
        <v>79</v>
      </c>
      <c r="E67" s="37" t="s">
        <v>23</v>
      </c>
      <c r="F67" s="37" t="s">
        <v>49</v>
      </c>
      <c r="G67" s="38">
        <v>970169</v>
      </c>
      <c r="H67" s="38">
        <v>66160</v>
      </c>
      <c r="I67" s="37">
        <v>61750</v>
      </c>
      <c r="J67" s="38">
        <v>33078</v>
      </c>
      <c r="K67" s="37">
        <v>31991</v>
      </c>
      <c r="L67" s="37">
        <v>7200</v>
      </c>
      <c r="M67" s="37">
        <v>58823</v>
      </c>
      <c r="N67" s="37">
        <v>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/>
      <c r="U67" s="16">
        <f t="shared" si="1"/>
        <v>1229171</v>
      </c>
    </row>
    <row r="68" spans="1:21" s="39" customFormat="1" ht="15" thickBot="1" x14ac:dyDescent="0.4">
      <c r="A68" s="35" t="s">
        <v>20</v>
      </c>
      <c r="B68" s="36">
        <v>46143</v>
      </c>
      <c r="C68" s="37" t="s">
        <v>55</v>
      </c>
      <c r="D68" s="37" t="s">
        <v>82</v>
      </c>
      <c r="E68" s="37" t="s">
        <v>23</v>
      </c>
      <c r="F68" s="37" t="s">
        <v>49</v>
      </c>
      <c r="G68" s="37">
        <v>37905</v>
      </c>
      <c r="H68" s="38">
        <v>31671</v>
      </c>
      <c r="I68" s="37">
        <v>277940</v>
      </c>
      <c r="J68" s="38">
        <v>57000</v>
      </c>
      <c r="K68" s="37">
        <v>3500</v>
      </c>
      <c r="L68" s="37">
        <v>5800</v>
      </c>
      <c r="M68" s="37">
        <v>910</v>
      </c>
      <c r="N68" s="37">
        <v>0</v>
      </c>
      <c r="O68" s="37">
        <v>3620</v>
      </c>
      <c r="P68" s="38">
        <v>0</v>
      </c>
      <c r="Q68" s="38">
        <v>1600</v>
      </c>
      <c r="R68" s="38">
        <v>1805</v>
      </c>
      <c r="S68" s="38"/>
      <c r="T68" s="37"/>
      <c r="U68" s="16">
        <f t="shared" ref="U68:U131" si="2">SUM(G68:S68)</f>
        <v>421751</v>
      </c>
    </row>
    <row r="69" spans="1:21" s="39" customFormat="1" ht="15" thickBot="1" x14ac:dyDescent="0.4">
      <c r="A69" s="35" t="s">
        <v>20</v>
      </c>
      <c r="B69" s="36">
        <v>46143</v>
      </c>
      <c r="C69" s="37" t="s">
        <v>38</v>
      </c>
      <c r="D69" s="37" t="s">
        <v>82</v>
      </c>
      <c r="E69" s="37" t="s">
        <v>23</v>
      </c>
      <c r="F69" s="37" t="s">
        <v>49</v>
      </c>
      <c r="G69" s="37">
        <v>97215</v>
      </c>
      <c r="H69" s="38">
        <v>31671</v>
      </c>
      <c r="I69" s="37">
        <v>87100</v>
      </c>
      <c r="J69" s="38">
        <v>57000</v>
      </c>
      <c r="K69" s="37">
        <v>2450</v>
      </c>
      <c r="L69" s="37">
        <v>3200</v>
      </c>
      <c r="M69" s="37">
        <v>13404</v>
      </c>
      <c r="N69" s="37">
        <v>5148</v>
      </c>
      <c r="O69" s="37">
        <v>3620</v>
      </c>
      <c r="P69" s="38">
        <v>3109</v>
      </c>
      <c r="Q69" s="38">
        <v>1600</v>
      </c>
      <c r="R69" s="38">
        <v>1805</v>
      </c>
      <c r="S69" s="38"/>
      <c r="T69" s="37"/>
      <c r="U69" s="16">
        <f t="shared" si="2"/>
        <v>307322</v>
      </c>
    </row>
    <row r="70" spans="1:21" s="39" customFormat="1" ht="15" thickBot="1" x14ac:dyDescent="0.4">
      <c r="A70" s="35" t="s">
        <v>20</v>
      </c>
      <c r="B70" s="36">
        <v>46143</v>
      </c>
      <c r="C70" s="37" t="s">
        <v>33</v>
      </c>
      <c r="D70" s="37" t="s">
        <v>82</v>
      </c>
      <c r="E70" s="37" t="s">
        <v>23</v>
      </c>
      <c r="F70" s="37" t="s">
        <v>49</v>
      </c>
      <c r="G70" s="38">
        <v>3404489.95</v>
      </c>
      <c r="H70" s="38">
        <v>475013.7</v>
      </c>
      <c r="I70" s="37">
        <v>388700</v>
      </c>
      <c r="J70" s="38">
        <v>57000</v>
      </c>
      <c r="K70" s="37">
        <v>37442</v>
      </c>
      <c r="L70" s="37">
        <v>87700</v>
      </c>
      <c r="M70" s="37">
        <v>19662</v>
      </c>
      <c r="N70" s="37">
        <v>11599</v>
      </c>
      <c r="O70" s="37">
        <v>3620</v>
      </c>
      <c r="P70" s="38">
        <v>11370</v>
      </c>
      <c r="Q70" s="38">
        <v>1600</v>
      </c>
      <c r="R70" s="38">
        <v>1805</v>
      </c>
      <c r="S70" s="38"/>
      <c r="T70" s="37"/>
      <c r="U70" s="16">
        <f t="shared" si="2"/>
        <v>4500001.6500000004</v>
      </c>
    </row>
    <row r="71" spans="1:21" s="39" customFormat="1" ht="15" thickBot="1" x14ac:dyDescent="0.4">
      <c r="A71" s="35" t="s">
        <v>20</v>
      </c>
      <c r="B71" s="36">
        <v>46143</v>
      </c>
      <c r="C71" s="37" t="s">
        <v>33</v>
      </c>
      <c r="D71" s="37" t="s">
        <v>57</v>
      </c>
      <c r="E71" s="37" t="s">
        <v>32</v>
      </c>
      <c r="F71" s="37" t="s">
        <v>49</v>
      </c>
      <c r="G71" s="37">
        <v>2344883</v>
      </c>
      <c r="H71" s="38">
        <v>366350.36</v>
      </c>
      <c r="I71" s="37">
        <v>3500</v>
      </c>
      <c r="J71" s="38">
        <v>60682</v>
      </c>
      <c r="K71" s="37">
        <v>18498</v>
      </c>
      <c r="L71" s="37">
        <v>21546</v>
      </c>
      <c r="M71" s="37">
        <v>10160</v>
      </c>
      <c r="N71" s="37">
        <v>9620</v>
      </c>
      <c r="O71" s="37">
        <v>0</v>
      </c>
      <c r="P71" s="41">
        <v>5328</v>
      </c>
      <c r="Q71" s="37">
        <v>0</v>
      </c>
      <c r="R71" s="37">
        <v>3442</v>
      </c>
      <c r="S71" s="37">
        <v>8630</v>
      </c>
      <c r="T71" s="37" t="s">
        <v>56</v>
      </c>
      <c r="U71" s="16">
        <f t="shared" si="2"/>
        <v>2852639.36</v>
      </c>
    </row>
    <row r="72" spans="1:21" s="39" customFormat="1" ht="15" thickBot="1" x14ac:dyDescent="0.4">
      <c r="A72" s="35" t="s">
        <v>20</v>
      </c>
      <c r="B72" s="36">
        <v>46143</v>
      </c>
      <c r="C72" s="37" t="s">
        <v>33</v>
      </c>
      <c r="D72" s="37" t="s">
        <v>58</v>
      </c>
      <c r="E72" s="37" t="s">
        <v>23</v>
      </c>
      <c r="F72" s="37" t="s">
        <v>49</v>
      </c>
      <c r="G72" s="38">
        <v>3174286</v>
      </c>
      <c r="H72" s="38">
        <v>717931.61</v>
      </c>
      <c r="I72" s="37">
        <v>231000</v>
      </c>
      <c r="J72" s="38">
        <v>159116</v>
      </c>
      <c r="K72" s="37">
        <v>56664</v>
      </c>
      <c r="L72" s="37">
        <v>29268</v>
      </c>
      <c r="M72" s="37">
        <v>26550</v>
      </c>
      <c r="N72" s="37">
        <v>10565</v>
      </c>
      <c r="O72" s="37">
        <v>14581</v>
      </c>
      <c r="P72" s="37">
        <v>25200</v>
      </c>
      <c r="Q72" s="37">
        <v>0</v>
      </c>
      <c r="R72" s="37">
        <v>7129</v>
      </c>
      <c r="S72" s="37">
        <v>16100</v>
      </c>
      <c r="T72" s="37" t="s">
        <v>56</v>
      </c>
      <c r="U72" s="16">
        <f t="shared" si="2"/>
        <v>4468390.6099999994</v>
      </c>
    </row>
    <row r="73" spans="1:21" s="39" customFormat="1" ht="15" thickBot="1" x14ac:dyDescent="0.4">
      <c r="A73" s="35" t="s">
        <v>20</v>
      </c>
      <c r="B73" s="36">
        <v>46143</v>
      </c>
      <c r="C73" s="37" t="s">
        <v>59</v>
      </c>
      <c r="D73" s="37" t="s">
        <v>60</v>
      </c>
      <c r="E73" s="37" t="s">
        <v>32</v>
      </c>
      <c r="F73" s="37" t="s">
        <v>61</v>
      </c>
      <c r="G73" s="38">
        <v>76024</v>
      </c>
      <c r="H73" s="38">
        <v>169545</v>
      </c>
      <c r="I73" s="38">
        <v>0</v>
      </c>
      <c r="J73" s="38">
        <v>13386</v>
      </c>
      <c r="K73" s="38">
        <v>0</v>
      </c>
      <c r="L73" s="37"/>
      <c r="M73" s="37"/>
      <c r="N73" s="37"/>
      <c r="O73" s="37"/>
      <c r="P73" s="37"/>
      <c r="Q73" s="37"/>
      <c r="R73" s="37"/>
      <c r="S73" s="41">
        <v>9500</v>
      </c>
      <c r="T73" s="37"/>
      <c r="U73" s="16">
        <f t="shared" si="2"/>
        <v>268455</v>
      </c>
    </row>
    <row r="74" spans="1:21" s="40" customFormat="1" ht="12.5" thickBot="1" x14ac:dyDescent="0.4">
      <c r="A74" s="35" t="s">
        <v>20</v>
      </c>
      <c r="B74" s="36">
        <v>46143</v>
      </c>
      <c r="C74" s="37" t="s">
        <v>83</v>
      </c>
      <c r="D74" s="37" t="s">
        <v>62</v>
      </c>
      <c r="E74" s="37" t="s">
        <v>32</v>
      </c>
      <c r="F74" s="37" t="s">
        <v>61</v>
      </c>
      <c r="G74" s="38">
        <v>271547</v>
      </c>
      <c r="H74" s="38">
        <v>66801</v>
      </c>
      <c r="I74" s="37">
        <v>0</v>
      </c>
      <c r="J74" s="38">
        <v>3668</v>
      </c>
      <c r="K74" s="38">
        <v>5900</v>
      </c>
      <c r="L74" s="38">
        <v>2400</v>
      </c>
      <c r="M74" s="38">
        <v>1168</v>
      </c>
      <c r="N74" s="38">
        <v>6020</v>
      </c>
      <c r="O74" s="37">
        <v>0</v>
      </c>
      <c r="P74" s="37">
        <v>0</v>
      </c>
      <c r="Q74" s="37">
        <v>777</v>
      </c>
      <c r="R74" s="37">
        <v>0</v>
      </c>
      <c r="S74" s="37">
        <v>0</v>
      </c>
      <c r="T74" s="37"/>
      <c r="U74" s="16">
        <f t="shared" si="2"/>
        <v>358281</v>
      </c>
    </row>
    <row r="75" spans="1:21" s="40" customFormat="1" ht="12.5" thickBot="1" x14ac:dyDescent="0.4">
      <c r="A75" s="35" t="s">
        <v>20</v>
      </c>
      <c r="B75" s="36">
        <v>46143</v>
      </c>
      <c r="C75" s="37" t="s">
        <v>63</v>
      </c>
      <c r="D75" s="37" t="s">
        <v>64</v>
      </c>
      <c r="E75" s="37" t="s">
        <v>23</v>
      </c>
      <c r="F75" s="37" t="s">
        <v>61</v>
      </c>
      <c r="G75" s="38">
        <v>242217</v>
      </c>
      <c r="H75" s="38">
        <v>15855</v>
      </c>
      <c r="I75" s="37">
        <v>0</v>
      </c>
      <c r="J75" s="38">
        <v>34710.5</v>
      </c>
      <c r="K75" s="37">
        <v>0</v>
      </c>
      <c r="L75" s="38">
        <v>0</v>
      </c>
      <c r="M75" s="37">
        <v>0</v>
      </c>
      <c r="N75" s="37">
        <v>0</v>
      </c>
      <c r="O75" s="37">
        <v>0</v>
      </c>
      <c r="P75" s="37">
        <v>0</v>
      </c>
      <c r="Q75" s="37"/>
      <c r="R75" s="37">
        <v>0</v>
      </c>
      <c r="S75" s="37"/>
      <c r="T75" s="37"/>
      <c r="U75" s="16">
        <f t="shared" si="2"/>
        <v>292782.5</v>
      </c>
    </row>
    <row r="76" spans="1:21" s="39" customFormat="1" ht="15" thickBot="1" x14ac:dyDescent="0.4">
      <c r="A76" s="35" t="s">
        <v>20</v>
      </c>
      <c r="B76" s="36">
        <v>46143</v>
      </c>
      <c r="C76" s="37" t="s">
        <v>65</v>
      </c>
      <c r="D76" s="37" t="s">
        <v>64</v>
      </c>
      <c r="E76" s="37" t="s">
        <v>23</v>
      </c>
      <c r="F76" s="37" t="s">
        <v>61</v>
      </c>
      <c r="G76" s="37">
        <v>0</v>
      </c>
      <c r="H76" s="38">
        <v>15855</v>
      </c>
      <c r="I76" s="37">
        <v>0</v>
      </c>
      <c r="J76" s="38">
        <v>34710.5</v>
      </c>
      <c r="K76" s="37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0</v>
      </c>
      <c r="T76" s="37"/>
      <c r="U76" s="16">
        <f t="shared" si="2"/>
        <v>50565.5</v>
      </c>
    </row>
    <row r="77" spans="1:21" s="40" customFormat="1" ht="12.5" thickBot="1" x14ac:dyDescent="0.4">
      <c r="A77" s="35" t="s">
        <v>20</v>
      </c>
      <c r="B77" s="36">
        <v>46143</v>
      </c>
      <c r="C77" s="37" t="s">
        <v>81</v>
      </c>
      <c r="D77" s="37" t="s">
        <v>64</v>
      </c>
      <c r="E77" s="37" t="s">
        <v>23</v>
      </c>
      <c r="F77" s="37" t="s">
        <v>61</v>
      </c>
      <c r="G77" s="38">
        <v>213070</v>
      </c>
      <c r="H77" s="38">
        <v>47564</v>
      </c>
      <c r="I77" s="37">
        <v>0</v>
      </c>
      <c r="J77" s="38">
        <v>34710.5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0</v>
      </c>
      <c r="T77" s="37"/>
      <c r="U77" s="16">
        <f t="shared" si="2"/>
        <v>295344.5</v>
      </c>
    </row>
    <row r="78" spans="1:21" s="39" customFormat="1" ht="15" thickBot="1" x14ac:dyDescent="0.4">
      <c r="A78" s="35" t="s">
        <v>20</v>
      </c>
      <c r="B78" s="36">
        <v>46143</v>
      </c>
      <c r="C78" s="37" t="s">
        <v>38</v>
      </c>
      <c r="D78" s="37" t="s">
        <v>64</v>
      </c>
      <c r="E78" s="37" t="s">
        <v>23</v>
      </c>
      <c r="F78" s="37" t="s">
        <v>61</v>
      </c>
      <c r="G78" s="38">
        <v>52424</v>
      </c>
      <c r="H78" s="38">
        <v>15855</v>
      </c>
      <c r="I78" s="37">
        <v>0</v>
      </c>
      <c r="J78" s="38">
        <v>34710.5</v>
      </c>
      <c r="K78" s="38">
        <v>2600</v>
      </c>
      <c r="L78" s="37">
        <v>675</v>
      </c>
      <c r="M78" s="37">
        <v>0</v>
      </c>
      <c r="N78" s="41">
        <v>10839</v>
      </c>
      <c r="O78" s="41">
        <v>12989</v>
      </c>
      <c r="P78" s="37">
        <v>0</v>
      </c>
      <c r="Q78" s="37">
        <v>589</v>
      </c>
      <c r="R78" s="37">
        <v>0</v>
      </c>
      <c r="S78" s="37">
        <v>0</v>
      </c>
      <c r="T78" s="37"/>
      <c r="U78" s="16">
        <f t="shared" si="2"/>
        <v>130681.5</v>
      </c>
    </row>
    <row r="79" spans="1:21" s="39" customFormat="1" ht="15" thickBot="1" x14ac:dyDescent="0.4">
      <c r="A79" s="35" t="s">
        <v>20</v>
      </c>
      <c r="B79" s="36">
        <v>46143</v>
      </c>
      <c r="C79" s="37" t="s">
        <v>66</v>
      </c>
      <c r="D79" s="37" t="s">
        <v>67</v>
      </c>
      <c r="E79" s="37" t="s">
        <v>32</v>
      </c>
      <c r="F79" s="37" t="s">
        <v>61</v>
      </c>
      <c r="G79" s="38">
        <v>2966093</v>
      </c>
      <c r="H79" s="38">
        <v>478200</v>
      </c>
      <c r="I79" s="37">
        <v>0</v>
      </c>
      <c r="J79" s="38">
        <v>210569</v>
      </c>
      <c r="K79" s="38">
        <v>0</v>
      </c>
      <c r="L79" s="38">
        <v>12060</v>
      </c>
      <c r="M79" s="38">
        <v>9375</v>
      </c>
      <c r="N79" s="38">
        <v>21781</v>
      </c>
      <c r="O79" s="38">
        <v>8852</v>
      </c>
      <c r="P79" s="37">
        <v>0</v>
      </c>
      <c r="Q79" s="37">
        <v>0</v>
      </c>
      <c r="R79" s="41">
        <v>9584</v>
      </c>
      <c r="S79" s="41">
        <v>291459</v>
      </c>
      <c r="T79" s="37"/>
      <c r="U79" s="16">
        <f t="shared" si="2"/>
        <v>4007973</v>
      </c>
    </row>
    <row r="80" spans="1:21" s="40" customFormat="1" ht="12.5" thickBot="1" x14ac:dyDescent="0.4">
      <c r="A80" s="35" t="s">
        <v>20</v>
      </c>
      <c r="B80" s="36">
        <v>46143</v>
      </c>
      <c r="C80" s="37" t="s">
        <v>68</v>
      </c>
      <c r="D80" s="37" t="s">
        <v>69</v>
      </c>
      <c r="E80" s="37" t="s">
        <v>32</v>
      </c>
      <c r="F80" s="37" t="s">
        <v>61</v>
      </c>
      <c r="G80" s="38">
        <v>1090864</v>
      </c>
      <c r="H80" s="37">
        <v>0</v>
      </c>
      <c r="I80" s="37">
        <v>0</v>
      </c>
      <c r="J80" s="38">
        <v>0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79236.149999999994</v>
      </c>
      <c r="T80" s="37"/>
      <c r="U80" s="16">
        <f t="shared" si="2"/>
        <v>1170100.1499999999</v>
      </c>
    </row>
    <row r="81" spans="1:21" s="46" customFormat="1" ht="12.5" thickBot="1" x14ac:dyDescent="0.4">
      <c r="A81" s="42" t="s">
        <v>20</v>
      </c>
      <c r="B81" s="43">
        <v>46143</v>
      </c>
      <c r="C81" s="44" t="s">
        <v>83</v>
      </c>
      <c r="D81" s="44" t="s">
        <v>70</v>
      </c>
      <c r="E81" s="44" t="s">
        <v>32</v>
      </c>
      <c r="F81" s="44" t="s">
        <v>61</v>
      </c>
      <c r="G81" s="45">
        <v>489522</v>
      </c>
      <c r="H81" s="45">
        <v>69561</v>
      </c>
      <c r="I81" s="45">
        <v>105099</v>
      </c>
      <c r="J81" s="45">
        <v>17967</v>
      </c>
      <c r="K81" s="45">
        <v>7410</v>
      </c>
      <c r="L81" s="45">
        <v>2732</v>
      </c>
      <c r="M81" s="45">
        <v>5814</v>
      </c>
      <c r="N81" s="45">
        <v>5153</v>
      </c>
      <c r="O81" s="45">
        <v>0</v>
      </c>
      <c r="P81" s="45">
        <v>0</v>
      </c>
      <c r="Q81" s="45">
        <v>2500</v>
      </c>
      <c r="R81" s="45">
        <v>0</v>
      </c>
      <c r="S81" s="45">
        <v>0</v>
      </c>
      <c r="T81" s="44"/>
      <c r="U81" s="16">
        <f t="shared" si="2"/>
        <v>705758</v>
      </c>
    </row>
    <row r="82" spans="1:21" s="51" customFormat="1" ht="15" thickBot="1" x14ac:dyDescent="0.4">
      <c r="A82" s="47" t="s">
        <v>20</v>
      </c>
      <c r="B82" s="48">
        <v>46174</v>
      </c>
      <c r="C82" s="49" t="s">
        <v>29</v>
      </c>
      <c r="D82" s="49" t="s">
        <v>44</v>
      </c>
      <c r="E82" s="49" t="s">
        <v>23</v>
      </c>
      <c r="F82" s="49" t="s">
        <v>45</v>
      </c>
      <c r="G82" s="49">
        <v>32370</v>
      </c>
      <c r="H82" s="50">
        <v>33665.333333333336</v>
      </c>
      <c r="I82" s="50">
        <v>0</v>
      </c>
      <c r="J82" s="50"/>
      <c r="K82" s="49">
        <v>1772</v>
      </c>
      <c r="L82" s="49">
        <v>630</v>
      </c>
      <c r="M82" s="49">
        <v>1475</v>
      </c>
      <c r="N82" s="49">
        <v>3740</v>
      </c>
      <c r="O82" s="49">
        <v>0</v>
      </c>
      <c r="P82" s="49">
        <v>0</v>
      </c>
      <c r="Q82" s="109"/>
      <c r="R82" s="109"/>
      <c r="S82" s="109"/>
      <c r="T82" s="109"/>
      <c r="U82" s="16">
        <f t="shared" si="2"/>
        <v>73652.333333333343</v>
      </c>
    </row>
    <row r="83" spans="1:21" s="56" customFormat="1" ht="15" thickBot="1" x14ac:dyDescent="0.4">
      <c r="A83" s="52" t="s">
        <v>20</v>
      </c>
      <c r="B83" s="53">
        <v>46174</v>
      </c>
      <c r="C83" s="54" t="s">
        <v>66</v>
      </c>
      <c r="D83" s="54" t="s">
        <v>44</v>
      </c>
      <c r="E83" s="54" t="s">
        <v>23</v>
      </c>
      <c r="F83" s="54" t="s">
        <v>45</v>
      </c>
      <c r="G83" s="54">
        <v>3002946</v>
      </c>
      <c r="H83" s="55">
        <v>215613</v>
      </c>
      <c r="I83" s="54">
        <v>0</v>
      </c>
      <c r="J83" s="55">
        <v>229315</v>
      </c>
      <c r="K83" s="54">
        <v>58731</v>
      </c>
      <c r="L83" s="58"/>
      <c r="M83" s="58"/>
      <c r="N83" s="58"/>
      <c r="O83" s="55"/>
      <c r="P83" s="54">
        <v>10500</v>
      </c>
      <c r="Q83" s="58"/>
      <c r="R83" s="54">
        <v>10353</v>
      </c>
      <c r="S83" s="54">
        <v>118671</v>
      </c>
      <c r="T83" s="58" t="s">
        <v>85</v>
      </c>
      <c r="U83" s="16">
        <f t="shared" si="2"/>
        <v>3646129</v>
      </c>
    </row>
    <row r="84" spans="1:21" s="56" customFormat="1" ht="15" thickBot="1" x14ac:dyDescent="0.4">
      <c r="A84" s="52" t="s">
        <v>20</v>
      </c>
      <c r="B84" s="53">
        <v>46174</v>
      </c>
      <c r="C84" s="54" t="s">
        <v>47</v>
      </c>
      <c r="D84" s="54" t="s">
        <v>44</v>
      </c>
      <c r="E84" s="54" t="s">
        <v>23</v>
      </c>
      <c r="F84" s="54" t="s">
        <v>45</v>
      </c>
      <c r="G84" s="54">
        <v>98759</v>
      </c>
      <c r="H84" s="55">
        <v>33665</v>
      </c>
      <c r="I84" s="54">
        <v>17350</v>
      </c>
      <c r="J84" s="55">
        <v>21578</v>
      </c>
      <c r="K84" s="54">
        <v>2772</v>
      </c>
      <c r="L84" s="54">
        <v>913</v>
      </c>
      <c r="M84" s="54">
        <v>4840</v>
      </c>
      <c r="N84" s="54">
        <v>699</v>
      </c>
      <c r="O84" s="54">
        <v>7000</v>
      </c>
      <c r="P84" s="54">
        <v>3376</v>
      </c>
      <c r="Q84" s="58"/>
      <c r="R84" s="58"/>
      <c r="S84" s="58"/>
      <c r="T84" s="58"/>
      <c r="U84" s="16">
        <f t="shared" si="2"/>
        <v>190952</v>
      </c>
    </row>
    <row r="85" spans="1:21" s="56" customFormat="1" ht="15" thickBot="1" x14ac:dyDescent="0.4">
      <c r="A85" s="52" t="s">
        <v>20</v>
      </c>
      <c r="B85" s="53">
        <v>46174</v>
      </c>
      <c r="C85" s="54" t="s">
        <v>48</v>
      </c>
      <c r="D85" s="54" t="s">
        <v>44</v>
      </c>
      <c r="E85" s="54" t="s">
        <v>23</v>
      </c>
      <c r="F85" s="54" t="s">
        <v>45</v>
      </c>
      <c r="G85" s="54">
        <v>191909</v>
      </c>
      <c r="H85" s="55">
        <v>33665</v>
      </c>
      <c r="I85" s="54">
        <f>5650+129372</f>
        <v>135022</v>
      </c>
      <c r="J85" s="55">
        <v>21578</v>
      </c>
      <c r="K85" s="54">
        <v>6168</v>
      </c>
      <c r="L85" s="54">
        <v>864</v>
      </c>
      <c r="M85" s="54">
        <v>7610</v>
      </c>
      <c r="N85" s="54">
        <v>9119</v>
      </c>
      <c r="O85" s="54">
        <v>7000</v>
      </c>
      <c r="P85" s="54">
        <v>4335</v>
      </c>
      <c r="Q85" s="58"/>
      <c r="R85" s="58"/>
      <c r="S85" s="58"/>
      <c r="T85" s="58"/>
      <c r="U85" s="16">
        <f t="shared" si="2"/>
        <v>417270</v>
      </c>
    </row>
    <row r="86" spans="1:21" s="56" customFormat="1" ht="15" thickBot="1" x14ac:dyDescent="0.4">
      <c r="A86" s="52" t="s">
        <v>20</v>
      </c>
      <c r="B86" s="53">
        <v>46174</v>
      </c>
      <c r="C86" s="54" t="s">
        <v>21</v>
      </c>
      <c r="D86" s="54" t="s">
        <v>22</v>
      </c>
      <c r="E86" s="54" t="s">
        <v>23</v>
      </c>
      <c r="F86" s="54" t="s">
        <v>40</v>
      </c>
      <c r="G86" s="54">
        <v>131762</v>
      </c>
      <c r="H86" s="55">
        <v>93297</v>
      </c>
      <c r="I86" s="54">
        <v>2400</v>
      </c>
      <c r="J86" s="55">
        <f>23859/4</f>
        <v>5964.75</v>
      </c>
      <c r="K86" s="54">
        <v>4692</v>
      </c>
      <c r="L86" s="54">
        <v>2660</v>
      </c>
      <c r="M86" s="54">
        <v>47035</v>
      </c>
      <c r="N86" s="54">
        <v>0</v>
      </c>
      <c r="O86" s="54">
        <v>3334</v>
      </c>
      <c r="P86" s="54">
        <v>0</v>
      </c>
      <c r="Q86" s="54">
        <v>0</v>
      </c>
      <c r="R86" s="54">
        <v>1770</v>
      </c>
      <c r="S86" s="54">
        <v>254550</v>
      </c>
      <c r="T86" s="54" t="s">
        <v>89</v>
      </c>
      <c r="U86" s="16">
        <f t="shared" si="2"/>
        <v>547464.75</v>
      </c>
    </row>
    <row r="87" spans="1:21" s="56" customFormat="1" ht="15" thickBot="1" x14ac:dyDescent="0.4">
      <c r="A87" s="52" t="s">
        <v>20</v>
      </c>
      <c r="B87" s="53">
        <v>46174</v>
      </c>
      <c r="C87" s="54" t="s">
        <v>26</v>
      </c>
      <c r="D87" s="54" t="s">
        <v>22</v>
      </c>
      <c r="E87" s="54" t="s">
        <v>23</v>
      </c>
      <c r="F87" s="54" t="s">
        <v>40</v>
      </c>
      <c r="G87" s="54">
        <v>521956</v>
      </c>
      <c r="H87" s="55">
        <v>52818.5</v>
      </c>
      <c r="I87" s="54">
        <v>0</v>
      </c>
      <c r="J87" s="55">
        <v>5965</v>
      </c>
      <c r="K87" s="54">
        <v>13707</v>
      </c>
      <c r="L87" s="54">
        <v>7520</v>
      </c>
      <c r="M87" s="54">
        <v>49882</v>
      </c>
      <c r="N87" s="54">
        <v>2500</v>
      </c>
      <c r="O87" s="54">
        <v>3334</v>
      </c>
      <c r="P87" s="54">
        <v>8993</v>
      </c>
      <c r="Q87" s="54">
        <v>3125</v>
      </c>
      <c r="R87" s="54">
        <v>1770</v>
      </c>
      <c r="S87" s="54">
        <v>4200</v>
      </c>
      <c r="T87" s="54" t="s">
        <v>84</v>
      </c>
      <c r="U87" s="16">
        <f t="shared" si="2"/>
        <v>675770.5</v>
      </c>
    </row>
    <row r="88" spans="1:21" s="56" customFormat="1" ht="15" thickBot="1" x14ac:dyDescent="0.4">
      <c r="A88" s="52" t="s">
        <v>20</v>
      </c>
      <c r="B88" s="53">
        <v>46174</v>
      </c>
      <c r="C88" s="54" t="s">
        <v>28</v>
      </c>
      <c r="D88" s="54" t="s">
        <v>22</v>
      </c>
      <c r="E88" s="54" t="s">
        <v>23</v>
      </c>
      <c r="F88" s="54" t="s">
        <v>40</v>
      </c>
      <c r="G88" s="54">
        <v>89879</v>
      </c>
      <c r="H88" s="54">
        <v>0</v>
      </c>
      <c r="I88" s="54">
        <v>0</v>
      </c>
      <c r="J88" s="55">
        <v>5965</v>
      </c>
      <c r="K88" s="54">
        <v>1824</v>
      </c>
      <c r="L88" s="54">
        <v>0</v>
      </c>
      <c r="M88" s="54">
        <v>0</v>
      </c>
      <c r="N88" s="54">
        <v>0</v>
      </c>
      <c r="O88" s="54">
        <v>3334</v>
      </c>
      <c r="P88" s="54">
        <v>0</v>
      </c>
      <c r="Q88" s="54">
        <v>3125</v>
      </c>
      <c r="R88" s="54">
        <v>1770</v>
      </c>
      <c r="S88" s="54">
        <v>0</v>
      </c>
      <c r="T88" s="58"/>
      <c r="U88" s="16">
        <f t="shared" si="2"/>
        <v>105897</v>
      </c>
    </row>
    <row r="89" spans="1:21" s="56" customFormat="1" ht="15" thickBot="1" x14ac:dyDescent="0.4">
      <c r="A89" s="52" t="s">
        <v>20</v>
      </c>
      <c r="B89" s="53">
        <v>46174</v>
      </c>
      <c r="C89" s="54" t="s">
        <v>29</v>
      </c>
      <c r="D89" s="54" t="s">
        <v>22</v>
      </c>
      <c r="E89" s="54" t="s">
        <v>23</v>
      </c>
      <c r="F89" s="54" t="s">
        <v>40</v>
      </c>
      <c r="G89" s="54">
        <v>44006</v>
      </c>
      <c r="H89" s="55">
        <v>52818.5</v>
      </c>
      <c r="I89" s="54">
        <v>0</v>
      </c>
      <c r="J89" s="55">
        <v>5965</v>
      </c>
      <c r="K89" s="54">
        <v>2880</v>
      </c>
      <c r="L89" s="54">
        <v>8360</v>
      </c>
      <c r="M89" s="54">
        <v>0</v>
      </c>
      <c r="N89" s="54">
        <v>0</v>
      </c>
      <c r="O89" s="54">
        <v>3334</v>
      </c>
      <c r="P89" s="54">
        <v>4000</v>
      </c>
      <c r="Q89" s="54">
        <v>3125</v>
      </c>
      <c r="R89" s="54">
        <v>1770</v>
      </c>
      <c r="S89" s="54">
        <v>0</v>
      </c>
      <c r="T89" s="58"/>
      <c r="U89" s="16">
        <f t="shared" si="2"/>
        <v>126258.5</v>
      </c>
    </row>
    <row r="90" spans="1:21" s="56" customFormat="1" ht="15" thickBot="1" x14ac:dyDescent="0.4">
      <c r="A90" s="52" t="s">
        <v>20</v>
      </c>
      <c r="B90" s="53">
        <v>46174</v>
      </c>
      <c r="C90" s="54" t="s">
        <v>83</v>
      </c>
      <c r="D90" s="54" t="s">
        <v>31</v>
      </c>
      <c r="E90" s="54" t="s">
        <v>32</v>
      </c>
      <c r="F90" s="54" t="s">
        <v>40</v>
      </c>
      <c r="G90" s="54">
        <v>192070</v>
      </c>
      <c r="H90" s="54">
        <v>52662</v>
      </c>
      <c r="I90" s="54">
        <v>0</v>
      </c>
      <c r="J90" s="55">
        <v>3056</v>
      </c>
      <c r="K90" s="54">
        <v>3204</v>
      </c>
      <c r="L90" s="54">
        <v>2250</v>
      </c>
      <c r="M90" s="54">
        <v>0</v>
      </c>
      <c r="N90" s="54">
        <v>5000</v>
      </c>
      <c r="O90" s="54">
        <v>0</v>
      </c>
      <c r="P90" s="54">
        <v>0</v>
      </c>
      <c r="Q90" s="54">
        <v>0</v>
      </c>
      <c r="R90" s="54">
        <v>0</v>
      </c>
      <c r="S90" s="54">
        <v>0</v>
      </c>
      <c r="T90" s="58"/>
      <c r="U90" s="16">
        <f t="shared" si="2"/>
        <v>258242</v>
      </c>
    </row>
    <row r="91" spans="1:21" s="56" customFormat="1" ht="15" thickBot="1" x14ac:dyDescent="0.4">
      <c r="A91" s="52" t="s">
        <v>20</v>
      </c>
      <c r="B91" s="53">
        <v>46174</v>
      </c>
      <c r="C91" s="54" t="s">
        <v>33</v>
      </c>
      <c r="D91" s="54" t="s">
        <v>34</v>
      </c>
      <c r="E91" s="54" t="s">
        <v>32</v>
      </c>
      <c r="F91" s="54" t="s">
        <v>40</v>
      </c>
      <c r="G91" s="54">
        <v>3358523</v>
      </c>
      <c r="H91" s="54">
        <v>429887</v>
      </c>
      <c r="I91" s="54">
        <v>0</v>
      </c>
      <c r="J91" s="55">
        <v>97265</v>
      </c>
      <c r="K91" s="54">
        <v>33433</v>
      </c>
      <c r="L91" s="54">
        <v>16725</v>
      </c>
      <c r="M91" s="54">
        <v>25330</v>
      </c>
      <c r="N91" s="54">
        <v>5000</v>
      </c>
      <c r="O91" s="54">
        <v>15000</v>
      </c>
      <c r="P91" s="54">
        <v>0</v>
      </c>
      <c r="Q91" s="54">
        <v>15000</v>
      </c>
      <c r="R91" s="54">
        <v>4200</v>
      </c>
      <c r="S91" s="54">
        <v>1200</v>
      </c>
      <c r="T91" s="54" t="s">
        <v>72</v>
      </c>
      <c r="U91" s="16">
        <f t="shared" si="2"/>
        <v>4001563</v>
      </c>
    </row>
    <row r="92" spans="1:21" s="56" customFormat="1" ht="15" thickBot="1" x14ac:dyDescent="0.4">
      <c r="A92" s="52" t="s">
        <v>20</v>
      </c>
      <c r="B92" s="53">
        <v>46174</v>
      </c>
      <c r="C92" s="54" t="s">
        <v>87</v>
      </c>
      <c r="D92" s="54" t="s">
        <v>36</v>
      </c>
      <c r="E92" s="54" t="s">
        <v>23</v>
      </c>
      <c r="F92" s="54" t="s">
        <v>40</v>
      </c>
      <c r="G92" s="55">
        <v>217681</v>
      </c>
      <c r="H92" s="55">
        <v>35376</v>
      </c>
      <c r="I92" s="54">
        <v>55328</v>
      </c>
      <c r="J92" s="55">
        <v>15483.333333333334</v>
      </c>
      <c r="K92" s="54"/>
      <c r="L92" s="54">
        <v>1423</v>
      </c>
      <c r="M92" s="54">
        <v>5220</v>
      </c>
      <c r="N92" s="54">
        <v>0</v>
      </c>
      <c r="O92" s="54">
        <v>2333</v>
      </c>
      <c r="P92" s="54">
        <v>0</v>
      </c>
      <c r="Q92" s="54">
        <v>1333</v>
      </c>
      <c r="R92" s="54">
        <v>1770</v>
      </c>
      <c r="S92" s="54">
        <v>0</v>
      </c>
      <c r="T92" s="54"/>
      <c r="U92" s="16">
        <f t="shared" si="2"/>
        <v>335947.33333333331</v>
      </c>
    </row>
    <row r="93" spans="1:21" s="56" customFormat="1" ht="15" thickBot="1" x14ac:dyDescent="0.4">
      <c r="A93" s="52" t="s">
        <v>20</v>
      </c>
      <c r="B93" s="53">
        <v>46174</v>
      </c>
      <c r="C93" s="54" t="s">
        <v>38</v>
      </c>
      <c r="D93" s="54" t="s">
        <v>36</v>
      </c>
      <c r="E93" s="54" t="s">
        <v>23</v>
      </c>
      <c r="F93" s="54" t="s">
        <v>40</v>
      </c>
      <c r="G93" s="55">
        <v>96315</v>
      </c>
      <c r="H93" s="55">
        <v>35376</v>
      </c>
      <c r="I93" s="54">
        <v>0</v>
      </c>
      <c r="J93" s="55">
        <v>15483.333333333334</v>
      </c>
      <c r="K93" s="54">
        <v>3328</v>
      </c>
      <c r="L93" s="54">
        <v>1423</v>
      </c>
      <c r="M93" s="54">
        <v>5220</v>
      </c>
      <c r="N93" s="54">
        <v>0</v>
      </c>
      <c r="O93" s="54">
        <v>2333</v>
      </c>
      <c r="P93" s="54">
        <v>2500</v>
      </c>
      <c r="Q93" s="54">
        <v>1333</v>
      </c>
      <c r="R93" s="54">
        <v>1770</v>
      </c>
      <c r="S93" s="54">
        <v>0</v>
      </c>
      <c r="T93" s="54"/>
      <c r="U93" s="16">
        <f t="shared" si="2"/>
        <v>165081.33333333334</v>
      </c>
    </row>
    <row r="94" spans="1:21" s="56" customFormat="1" ht="15" thickBot="1" x14ac:dyDescent="0.4">
      <c r="A94" s="52" t="s">
        <v>20</v>
      </c>
      <c r="B94" s="53">
        <v>46174</v>
      </c>
      <c r="C94" s="54" t="s">
        <v>39</v>
      </c>
      <c r="D94" s="54" t="s">
        <v>36</v>
      </c>
      <c r="E94" s="54" t="s">
        <v>23</v>
      </c>
      <c r="F94" s="54" t="s">
        <v>40</v>
      </c>
      <c r="G94" s="55">
        <v>30222</v>
      </c>
      <c r="H94" s="55">
        <v>35376</v>
      </c>
      <c r="I94" s="54">
        <v>58292</v>
      </c>
      <c r="J94" s="55">
        <v>15483.333333333334</v>
      </c>
      <c r="K94" s="54">
        <v>2120</v>
      </c>
      <c r="L94" s="54">
        <v>1423</v>
      </c>
      <c r="M94" s="54">
        <v>5220</v>
      </c>
      <c r="N94" s="54">
        <v>1000</v>
      </c>
      <c r="O94" s="54">
        <v>2333</v>
      </c>
      <c r="P94" s="54">
        <v>0</v>
      </c>
      <c r="Q94" s="54">
        <v>1333</v>
      </c>
      <c r="R94" s="54">
        <v>1770</v>
      </c>
      <c r="S94" s="54">
        <v>0</v>
      </c>
      <c r="T94" s="58"/>
      <c r="U94" s="16">
        <f t="shared" si="2"/>
        <v>154572.33333333334</v>
      </c>
    </row>
    <row r="95" spans="1:21" s="56" customFormat="1" ht="15" thickBot="1" x14ac:dyDescent="0.4">
      <c r="A95" s="52" t="s">
        <v>20</v>
      </c>
      <c r="B95" s="53">
        <v>46174</v>
      </c>
      <c r="C95" s="54" t="s">
        <v>73</v>
      </c>
      <c r="D95" s="54" t="s">
        <v>74</v>
      </c>
      <c r="E95" s="54" t="s">
        <v>75</v>
      </c>
      <c r="F95" s="54" t="s">
        <v>40</v>
      </c>
      <c r="G95" s="54">
        <v>208809</v>
      </c>
      <c r="H95" s="54">
        <v>0</v>
      </c>
      <c r="I95" s="54">
        <v>0</v>
      </c>
      <c r="J95" s="54">
        <v>172482</v>
      </c>
      <c r="K95" s="54">
        <v>28438</v>
      </c>
      <c r="L95" s="54">
        <v>10260</v>
      </c>
      <c r="M95" s="54">
        <v>0</v>
      </c>
      <c r="N95" s="54">
        <v>0</v>
      </c>
      <c r="O95" s="54">
        <v>0</v>
      </c>
      <c r="P95" s="54">
        <v>0</v>
      </c>
      <c r="Q95" s="54">
        <v>0</v>
      </c>
      <c r="R95" s="54">
        <v>0</v>
      </c>
      <c r="S95" s="54">
        <v>0</v>
      </c>
      <c r="T95" s="54"/>
      <c r="U95" s="16">
        <f t="shared" si="2"/>
        <v>419989</v>
      </c>
    </row>
    <row r="96" spans="1:21" s="56" customFormat="1" ht="15" thickBot="1" x14ac:dyDescent="0.4">
      <c r="A96" s="52" t="s">
        <v>20</v>
      </c>
      <c r="B96" s="53">
        <v>46174</v>
      </c>
      <c r="C96" s="54" t="s">
        <v>33</v>
      </c>
      <c r="D96" s="54" t="s">
        <v>100</v>
      </c>
      <c r="E96" s="54" t="s">
        <v>32</v>
      </c>
      <c r="F96" s="54" t="s">
        <v>24</v>
      </c>
      <c r="G96" s="54">
        <v>10611176</v>
      </c>
      <c r="H96" s="55">
        <v>709360.63</v>
      </c>
      <c r="I96" s="54">
        <v>1643188</v>
      </c>
      <c r="J96" s="55">
        <v>84597</v>
      </c>
      <c r="K96" s="54">
        <f>41042+36675</f>
        <v>77717</v>
      </c>
      <c r="L96" s="54">
        <v>50752</v>
      </c>
      <c r="M96" s="55">
        <v>23630</v>
      </c>
      <c r="N96" s="54"/>
      <c r="O96" s="54"/>
      <c r="P96" s="54"/>
      <c r="Q96" s="54"/>
      <c r="R96" s="54"/>
      <c r="S96" s="54"/>
      <c r="T96" s="54"/>
      <c r="U96" s="16">
        <f t="shared" si="2"/>
        <v>13200420.630000001</v>
      </c>
    </row>
    <row r="97" spans="1:21" s="56" customFormat="1" ht="15" thickBot="1" x14ac:dyDescent="0.4">
      <c r="A97" s="52" t="s">
        <v>20</v>
      </c>
      <c r="B97" s="53">
        <v>46174</v>
      </c>
      <c r="C97" s="54" t="s">
        <v>33</v>
      </c>
      <c r="D97" s="54" t="s">
        <v>101</v>
      </c>
      <c r="E97" s="54" t="s">
        <v>32</v>
      </c>
      <c r="F97" s="54" t="s">
        <v>24</v>
      </c>
      <c r="G97" s="54">
        <v>3222951</v>
      </c>
      <c r="H97" s="55">
        <v>320923.8</v>
      </c>
      <c r="I97" s="54">
        <v>167300</v>
      </c>
      <c r="J97" s="55">
        <v>84953</v>
      </c>
      <c r="K97" s="54">
        <v>45240</v>
      </c>
      <c r="L97" s="54">
        <v>19888</v>
      </c>
      <c r="M97" s="54"/>
      <c r="N97" s="54"/>
      <c r="O97" s="54"/>
      <c r="P97" s="54"/>
      <c r="Q97" s="54"/>
      <c r="R97" s="54">
        <v>4200</v>
      </c>
      <c r="S97" s="54"/>
      <c r="T97" s="54"/>
      <c r="U97" s="16">
        <f t="shared" si="2"/>
        <v>3865455.8</v>
      </c>
    </row>
    <row r="98" spans="1:21" s="56" customFormat="1" ht="15" thickBot="1" x14ac:dyDescent="0.4">
      <c r="A98" s="52" t="s">
        <v>20</v>
      </c>
      <c r="B98" s="53">
        <v>46174</v>
      </c>
      <c r="C98" s="54" t="s">
        <v>33</v>
      </c>
      <c r="D98" s="54" t="s">
        <v>102</v>
      </c>
      <c r="E98" s="54" t="s">
        <v>32</v>
      </c>
      <c r="F98" s="54" t="s">
        <v>24</v>
      </c>
      <c r="G98" s="54">
        <v>832467</v>
      </c>
      <c r="H98" s="55">
        <v>296462.34000000003</v>
      </c>
      <c r="I98" s="54">
        <v>0</v>
      </c>
      <c r="J98" s="55">
        <v>252067</v>
      </c>
      <c r="K98" s="54">
        <v>39865</v>
      </c>
      <c r="L98" s="54">
        <v>23152</v>
      </c>
      <c r="M98" s="54"/>
      <c r="N98" s="54"/>
      <c r="O98" s="55"/>
      <c r="P98" s="55"/>
      <c r="Q98" s="54"/>
      <c r="R98" s="55">
        <v>4900</v>
      </c>
      <c r="S98" s="54"/>
      <c r="T98" s="54"/>
      <c r="U98" s="16">
        <f t="shared" si="2"/>
        <v>1448913.34</v>
      </c>
    </row>
    <row r="99" spans="1:21" s="56" customFormat="1" ht="15" thickBot="1" x14ac:dyDescent="0.4">
      <c r="A99" s="52" t="s">
        <v>20</v>
      </c>
      <c r="B99" s="53">
        <v>46174</v>
      </c>
      <c r="C99" s="54" t="s">
        <v>33</v>
      </c>
      <c r="D99" s="54" t="s">
        <v>41</v>
      </c>
      <c r="E99" s="54" t="s">
        <v>32</v>
      </c>
      <c r="F99" s="54" t="s">
        <v>24</v>
      </c>
      <c r="G99" s="54">
        <v>2890740</v>
      </c>
      <c r="H99" s="54">
        <v>270356</v>
      </c>
      <c r="I99" s="54">
        <v>29848</v>
      </c>
      <c r="J99" s="55">
        <v>76873</v>
      </c>
      <c r="K99" s="55">
        <v>69300</v>
      </c>
      <c r="L99" s="54">
        <v>22740</v>
      </c>
      <c r="M99" s="54"/>
      <c r="N99" s="54"/>
      <c r="O99" s="55"/>
      <c r="P99" s="55"/>
      <c r="Q99" s="55"/>
      <c r="R99" s="54">
        <v>4900</v>
      </c>
      <c r="S99" s="54"/>
      <c r="T99" s="54"/>
      <c r="U99" s="16">
        <f t="shared" si="2"/>
        <v>3364757</v>
      </c>
    </row>
    <row r="100" spans="1:21" s="56" customFormat="1" ht="15" thickBot="1" x14ac:dyDescent="0.4">
      <c r="A100" s="52" t="s">
        <v>20</v>
      </c>
      <c r="B100" s="53">
        <v>46174</v>
      </c>
      <c r="C100" s="54" t="s">
        <v>42</v>
      </c>
      <c r="D100" s="54" t="s">
        <v>43</v>
      </c>
      <c r="E100" s="54" t="s">
        <v>32</v>
      </c>
      <c r="F100" s="54" t="s">
        <v>24</v>
      </c>
      <c r="G100" s="54">
        <v>113274</v>
      </c>
      <c r="H100" s="54">
        <v>56967</v>
      </c>
      <c r="I100" s="54">
        <v>0</v>
      </c>
      <c r="J100" s="55">
        <v>0</v>
      </c>
      <c r="K100" s="54">
        <v>10610</v>
      </c>
      <c r="L100" s="54">
        <v>2640</v>
      </c>
      <c r="M100" s="54"/>
      <c r="N100" s="54"/>
      <c r="O100" s="54"/>
      <c r="P100" s="54"/>
      <c r="Q100" s="54"/>
      <c r="R100" s="54"/>
      <c r="S100" s="54"/>
      <c r="T100" s="54"/>
      <c r="U100" s="16">
        <f t="shared" si="2"/>
        <v>183491</v>
      </c>
    </row>
    <row r="101" spans="1:21" s="56" customFormat="1" ht="15" thickBot="1" x14ac:dyDescent="0.4">
      <c r="A101" s="52" t="s">
        <v>20</v>
      </c>
      <c r="B101" s="53">
        <v>46174</v>
      </c>
      <c r="C101" s="54" t="s">
        <v>59</v>
      </c>
      <c r="D101" s="54" t="s">
        <v>60</v>
      </c>
      <c r="E101" s="54" t="s">
        <v>32</v>
      </c>
      <c r="F101" s="54" t="s">
        <v>61</v>
      </c>
      <c r="G101" s="55">
        <v>74696</v>
      </c>
      <c r="H101" s="55">
        <v>123760</v>
      </c>
      <c r="I101" s="55">
        <v>0</v>
      </c>
      <c r="J101" s="55">
        <v>14961</v>
      </c>
      <c r="K101" s="58"/>
      <c r="L101" s="58"/>
      <c r="M101" s="57">
        <v>18310</v>
      </c>
      <c r="N101" s="58"/>
      <c r="O101" s="58"/>
      <c r="P101" s="58"/>
      <c r="Q101" s="58"/>
      <c r="R101" s="58"/>
      <c r="S101" s="57">
        <v>4955</v>
      </c>
      <c r="T101" s="58"/>
      <c r="U101" s="16">
        <f t="shared" si="2"/>
        <v>236682</v>
      </c>
    </row>
    <row r="102" spans="1:21" s="56" customFormat="1" ht="15" thickBot="1" x14ac:dyDescent="0.4">
      <c r="A102" s="52" t="s">
        <v>20</v>
      </c>
      <c r="B102" s="53">
        <v>46174</v>
      </c>
      <c r="C102" s="54" t="s">
        <v>83</v>
      </c>
      <c r="D102" s="54" t="s">
        <v>62</v>
      </c>
      <c r="E102" s="54" t="s">
        <v>32</v>
      </c>
      <c r="F102" s="54" t="s">
        <v>61</v>
      </c>
      <c r="G102" s="55">
        <v>282774</v>
      </c>
      <c r="H102" s="55">
        <v>66801</v>
      </c>
      <c r="I102" s="54">
        <v>0</v>
      </c>
      <c r="J102" s="55">
        <v>4465</v>
      </c>
      <c r="K102" s="57">
        <v>6812</v>
      </c>
      <c r="L102" s="57">
        <v>1800</v>
      </c>
      <c r="M102" s="57">
        <v>2632</v>
      </c>
      <c r="N102" s="57">
        <v>13111</v>
      </c>
      <c r="O102" s="58"/>
      <c r="P102" s="58"/>
      <c r="Q102" s="54">
        <v>777</v>
      </c>
      <c r="R102" s="58"/>
      <c r="S102" s="57">
        <v>1700</v>
      </c>
      <c r="T102" s="58"/>
      <c r="U102" s="16">
        <f t="shared" si="2"/>
        <v>380872</v>
      </c>
    </row>
    <row r="103" spans="1:21" s="56" customFormat="1" ht="15" thickBot="1" x14ac:dyDescent="0.4">
      <c r="A103" s="52" t="s">
        <v>20</v>
      </c>
      <c r="B103" s="53">
        <v>46174</v>
      </c>
      <c r="C103" s="54" t="s">
        <v>63</v>
      </c>
      <c r="D103" s="54" t="s">
        <v>64</v>
      </c>
      <c r="E103" s="54" t="s">
        <v>23</v>
      </c>
      <c r="F103" s="54" t="s">
        <v>61</v>
      </c>
      <c r="G103" s="55">
        <v>253592</v>
      </c>
      <c r="H103" s="55">
        <v>15855</v>
      </c>
      <c r="I103" s="54">
        <v>0</v>
      </c>
      <c r="J103" s="55">
        <v>37478.25</v>
      </c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16">
        <f t="shared" si="2"/>
        <v>306925.25</v>
      </c>
    </row>
    <row r="104" spans="1:21" s="56" customFormat="1" ht="15" thickBot="1" x14ac:dyDescent="0.4">
      <c r="A104" s="52" t="s">
        <v>20</v>
      </c>
      <c r="B104" s="53">
        <v>46174</v>
      </c>
      <c r="C104" s="54" t="s">
        <v>65</v>
      </c>
      <c r="D104" s="54" t="s">
        <v>64</v>
      </c>
      <c r="E104" s="54" t="s">
        <v>23</v>
      </c>
      <c r="F104" s="54" t="s">
        <v>61</v>
      </c>
      <c r="G104" s="54">
        <v>0</v>
      </c>
      <c r="H104" s="55">
        <v>15855</v>
      </c>
      <c r="I104" s="54">
        <v>0</v>
      </c>
      <c r="J104" s="55">
        <v>37478.25</v>
      </c>
      <c r="K104" s="54">
        <v>0</v>
      </c>
      <c r="L104" s="54">
        <v>0</v>
      </c>
      <c r="M104" s="54">
        <v>0</v>
      </c>
      <c r="N104" s="54">
        <v>0</v>
      </c>
      <c r="O104" s="54">
        <v>0</v>
      </c>
      <c r="P104" s="54">
        <v>0</v>
      </c>
      <c r="Q104" s="54">
        <v>0</v>
      </c>
      <c r="R104" s="54">
        <v>0</v>
      </c>
      <c r="S104" s="54">
        <v>0</v>
      </c>
      <c r="T104" s="58"/>
      <c r="U104" s="16">
        <f t="shared" si="2"/>
        <v>53333.25</v>
      </c>
    </row>
    <row r="105" spans="1:21" s="56" customFormat="1" ht="15" thickBot="1" x14ac:dyDescent="0.4">
      <c r="A105" s="52" t="s">
        <v>20</v>
      </c>
      <c r="B105" s="53">
        <v>46174</v>
      </c>
      <c r="C105" s="54" t="s">
        <v>81</v>
      </c>
      <c r="D105" s="54" t="s">
        <v>64</v>
      </c>
      <c r="E105" s="54" t="s">
        <v>23</v>
      </c>
      <c r="F105" s="54" t="s">
        <v>61</v>
      </c>
      <c r="G105" s="55">
        <v>205955</v>
      </c>
      <c r="H105" s="55">
        <v>47564</v>
      </c>
      <c r="I105" s="54">
        <v>0</v>
      </c>
      <c r="J105" s="55">
        <v>37478.25</v>
      </c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16">
        <f t="shared" si="2"/>
        <v>290997.25</v>
      </c>
    </row>
    <row r="106" spans="1:21" s="56" customFormat="1" ht="15" thickBot="1" x14ac:dyDescent="0.4">
      <c r="A106" s="52" t="s">
        <v>20</v>
      </c>
      <c r="B106" s="53">
        <v>46174</v>
      </c>
      <c r="C106" s="54" t="s">
        <v>38</v>
      </c>
      <c r="D106" s="54" t="s">
        <v>64</v>
      </c>
      <c r="E106" s="54" t="s">
        <v>23</v>
      </c>
      <c r="F106" s="54" t="s">
        <v>61</v>
      </c>
      <c r="G106" s="55">
        <v>79390</v>
      </c>
      <c r="H106" s="55">
        <v>15855</v>
      </c>
      <c r="I106" s="54">
        <v>0</v>
      </c>
      <c r="J106" s="55">
        <v>37478.25</v>
      </c>
      <c r="K106" s="58"/>
      <c r="L106" s="58"/>
      <c r="M106" s="58"/>
      <c r="N106" s="58"/>
      <c r="O106" s="58"/>
      <c r="P106" s="58"/>
      <c r="Q106" s="54">
        <v>589</v>
      </c>
      <c r="R106" s="58"/>
      <c r="S106" s="58"/>
      <c r="T106" s="58"/>
      <c r="U106" s="16">
        <f t="shared" si="2"/>
        <v>133312.25</v>
      </c>
    </row>
    <row r="107" spans="1:21" s="56" customFormat="1" ht="15" thickBot="1" x14ac:dyDescent="0.4">
      <c r="A107" s="52" t="s">
        <v>20</v>
      </c>
      <c r="B107" s="53">
        <v>46174</v>
      </c>
      <c r="C107" s="54" t="s">
        <v>66</v>
      </c>
      <c r="D107" s="54" t="s">
        <v>67</v>
      </c>
      <c r="E107" s="54" t="s">
        <v>32</v>
      </c>
      <c r="F107" s="54" t="s">
        <v>61</v>
      </c>
      <c r="G107" s="55">
        <v>3653556</v>
      </c>
      <c r="H107" s="55">
        <v>464351.14</v>
      </c>
      <c r="I107" s="54">
        <v>0</v>
      </c>
      <c r="J107" s="55">
        <v>177765</v>
      </c>
      <c r="K107" s="54">
        <v>0</v>
      </c>
      <c r="L107" s="57">
        <v>16920</v>
      </c>
      <c r="M107" s="57">
        <v>14220</v>
      </c>
      <c r="N107" s="58"/>
      <c r="O107" s="57">
        <v>38663</v>
      </c>
      <c r="P107" s="58"/>
      <c r="Q107" s="58"/>
      <c r="R107" s="57">
        <v>9584</v>
      </c>
      <c r="S107" s="57">
        <v>348370</v>
      </c>
      <c r="T107" s="58"/>
      <c r="U107" s="16">
        <f t="shared" si="2"/>
        <v>4723429.1400000006</v>
      </c>
    </row>
    <row r="108" spans="1:21" s="56" customFormat="1" ht="15" thickBot="1" x14ac:dyDescent="0.4">
      <c r="A108" s="52" t="s">
        <v>20</v>
      </c>
      <c r="B108" s="53">
        <v>46174</v>
      </c>
      <c r="C108" s="54" t="s">
        <v>68</v>
      </c>
      <c r="D108" s="54" t="s">
        <v>69</v>
      </c>
      <c r="E108" s="54" t="s">
        <v>32</v>
      </c>
      <c r="F108" s="54" t="s">
        <v>61</v>
      </c>
      <c r="G108" s="55">
        <v>982144</v>
      </c>
      <c r="H108" s="54">
        <v>0</v>
      </c>
      <c r="I108" s="54">
        <v>0</v>
      </c>
      <c r="J108" s="55">
        <v>0</v>
      </c>
      <c r="K108" s="58"/>
      <c r="L108" s="58"/>
      <c r="M108" s="58"/>
      <c r="N108" s="58"/>
      <c r="O108" s="58"/>
      <c r="P108" s="58"/>
      <c r="Q108" s="58"/>
      <c r="R108" s="58"/>
      <c r="S108" s="57">
        <v>90122</v>
      </c>
      <c r="T108" s="58"/>
      <c r="U108" s="16">
        <f t="shared" si="2"/>
        <v>1072266</v>
      </c>
    </row>
    <row r="109" spans="1:21" s="56" customFormat="1" ht="15" thickBot="1" x14ac:dyDescent="0.4">
      <c r="A109" s="52" t="s">
        <v>20</v>
      </c>
      <c r="B109" s="53">
        <v>46174</v>
      </c>
      <c r="C109" s="54" t="s">
        <v>83</v>
      </c>
      <c r="D109" s="54" t="s">
        <v>70</v>
      </c>
      <c r="E109" s="54" t="s">
        <v>32</v>
      </c>
      <c r="F109" s="54" t="s">
        <v>61</v>
      </c>
      <c r="G109" s="55">
        <v>504252</v>
      </c>
      <c r="H109" s="55">
        <v>69561</v>
      </c>
      <c r="I109" s="55">
        <v>121794</v>
      </c>
      <c r="J109" s="55">
        <v>17007</v>
      </c>
      <c r="K109" s="57">
        <v>7518</v>
      </c>
      <c r="L109" s="57">
        <v>2498</v>
      </c>
      <c r="M109" s="57">
        <v>7097</v>
      </c>
      <c r="N109" s="57">
        <v>5300</v>
      </c>
      <c r="O109" s="58"/>
      <c r="P109" s="58"/>
      <c r="Q109" s="57">
        <v>1400</v>
      </c>
      <c r="R109" s="58"/>
      <c r="S109" s="58"/>
      <c r="T109" s="58"/>
      <c r="U109" s="16">
        <f t="shared" si="2"/>
        <v>736427</v>
      </c>
    </row>
    <row r="110" spans="1:21" s="56" customFormat="1" ht="15" thickBot="1" x14ac:dyDescent="0.4">
      <c r="A110" s="52" t="s">
        <v>20</v>
      </c>
      <c r="B110" s="53">
        <v>46174</v>
      </c>
      <c r="C110" s="54" t="s">
        <v>81</v>
      </c>
      <c r="D110" s="54" t="s">
        <v>80</v>
      </c>
      <c r="E110" s="54" t="s">
        <v>23</v>
      </c>
      <c r="F110" s="54" t="s">
        <v>49</v>
      </c>
      <c r="G110" s="54">
        <v>73711</v>
      </c>
      <c r="H110" s="55">
        <v>0</v>
      </c>
      <c r="I110" s="54">
        <v>31850</v>
      </c>
      <c r="J110" s="55">
        <v>0</v>
      </c>
      <c r="K110" s="54"/>
      <c r="L110" s="54"/>
      <c r="M110" s="54">
        <v>0</v>
      </c>
      <c r="N110" s="54"/>
      <c r="O110" s="54"/>
      <c r="P110" s="54"/>
      <c r="Q110" s="54"/>
      <c r="R110" s="54"/>
      <c r="S110" s="54"/>
      <c r="T110" s="54"/>
      <c r="U110" s="16">
        <f t="shared" si="2"/>
        <v>105561</v>
      </c>
    </row>
    <row r="111" spans="1:21" s="56" customFormat="1" ht="15" thickBot="1" x14ac:dyDescent="0.4">
      <c r="A111" s="52" t="s">
        <v>20</v>
      </c>
      <c r="B111" s="53">
        <v>46174</v>
      </c>
      <c r="C111" s="54" t="s">
        <v>83</v>
      </c>
      <c r="D111" s="54" t="s">
        <v>80</v>
      </c>
      <c r="E111" s="54" t="s">
        <v>23</v>
      </c>
      <c r="F111" s="54" t="s">
        <v>49</v>
      </c>
      <c r="G111" s="54">
        <v>623631</v>
      </c>
      <c r="H111" s="55">
        <v>67483</v>
      </c>
      <c r="I111" s="54">
        <v>0</v>
      </c>
      <c r="J111" s="55">
        <v>51170</v>
      </c>
      <c r="K111" s="55"/>
      <c r="L111" s="54">
        <v>7350</v>
      </c>
      <c r="M111" s="54">
        <v>5103</v>
      </c>
      <c r="N111" s="54">
        <v>8815</v>
      </c>
      <c r="O111" s="54">
        <v>0</v>
      </c>
      <c r="P111" s="54"/>
      <c r="Q111" s="54"/>
      <c r="R111" s="54"/>
      <c r="S111" s="54"/>
      <c r="T111" s="54"/>
      <c r="U111" s="16">
        <f t="shared" si="2"/>
        <v>763552</v>
      </c>
    </row>
    <row r="112" spans="1:21" s="56" customFormat="1" ht="15" thickBot="1" x14ac:dyDescent="0.4">
      <c r="A112" s="52" t="s">
        <v>20</v>
      </c>
      <c r="B112" s="53">
        <v>46174</v>
      </c>
      <c r="C112" s="54" t="s">
        <v>29</v>
      </c>
      <c r="D112" s="54" t="s">
        <v>78</v>
      </c>
      <c r="E112" s="54" t="s">
        <v>23</v>
      </c>
      <c r="F112" s="54" t="s">
        <v>49</v>
      </c>
      <c r="G112" s="55">
        <v>110077</v>
      </c>
      <c r="H112" s="55">
        <v>66160</v>
      </c>
      <c r="I112" s="55">
        <v>0</v>
      </c>
      <c r="J112" s="55">
        <v>14320</v>
      </c>
      <c r="K112" s="54">
        <v>2360</v>
      </c>
      <c r="L112" s="54">
        <v>2550</v>
      </c>
      <c r="M112" s="54">
        <v>1687</v>
      </c>
      <c r="N112" s="54">
        <v>3310</v>
      </c>
      <c r="O112" s="55">
        <v>4000</v>
      </c>
      <c r="P112" s="57">
        <v>1250</v>
      </c>
      <c r="Q112" s="55">
        <v>1833</v>
      </c>
      <c r="R112" s="55">
        <v>2540</v>
      </c>
      <c r="S112" s="55">
        <v>400</v>
      </c>
      <c r="T112" s="54" t="s">
        <v>86</v>
      </c>
      <c r="U112" s="16">
        <f t="shared" si="2"/>
        <v>210487</v>
      </c>
    </row>
    <row r="113" spans="1:21" s="56" customFormat="1" ht="15" thickBot="1" x14ac:dyDescent="0.4">
      <c r="A113" s="52" t="s">
        <v>20</v>
      </c>
      <c r="B113" s="53">
        <v>46174</v>
      </c>
      <c r="C113" s="54" t="s">
        <v>51</v>
      </c>
      <c r="D113" s="54" t="s">
        <v>78</v>
      </c>
      <c r="E113" s="54" t="s">
        <v>23</v>
      </c>
      <c r="F113" s="54" t="s">
        <v>49</v>
      </c>
      <c r="G113" s="55">
        <v>110077</v>
      </c>
      <c r="H113" s="55">
        <v>33080</v>
      </c>
      <c r="I113" s="54">
        <v>0</v>
      </c>
      <c r="J113" s="55">
        <v>14320</v>
      </c>
      <c r="K113" s="54">
        <v>2720</v>
      </c>
      <c r="L113" s="54">
        <v>2550</v>
      </c>
      <c r="M113" s="54">
        <v>1687</v>
      </c>
      <c r="N113" s="54">
        <v>0</v>
      </c>
      <c r="O113" s="55">
        <v>4000</v>
      </c>
      <c r="P113" s="57">
        <v>1250</v>
      </c>
      <c r="Q113" s="55">
        <v>1833</v>
      </c>
      <c r="R113" s="55">
        <v>2540</v>
      </c>
      <c r="S113" s="55"/>
      <c r="T113" s="54"/>
      <c r="U113" s="16">
        <f t="shared" si="2"/>
        <v>174057</v>
      </c>
    </row>
    <row r="114" spans="1:21" s="56" customFormat="1" ht="15" thickBot="1" x14ac:dyDescent="0.4">
      <c r="A114" s="52" t="s">
        <v>20</v>
      </c>
      <c r="B114" s="53">
        <v>46174</v>
      </c>
      <c r="C114" s="54" t="s">
        <v>52</v>
      </c>
      <c r="D114" s="54" t="s">
        <v>79</v>
      </c>
      <c r="E114" s="54" t="s">
        <v>23</v>
      </c>
      <c r="F114" s="54" t="s">
        <v>49</v>
      </c>
      <c r="G114" s="55">
        <v>2551769</v>
      </c>
      <c r="H114" s="55">
        <v>288401</v>
      </c>
      <c r="I114" s="54">
        <v>280990</v>
      </c>
      <c r="J114" s="55">
        <v>165320</v>
      </c>
      <c r="K114" s="54">
        <v>78925</v>
      </c>
      <c r="L114" s="54">
        <v>41900</v>
      </c>
      <c r="M114" s="54">
        <v>67583</v>
      </c>
      <c r="N114" s="54">
        <v>13070</v>
      </c>
      <c r="O114" s="55">
        <v>0</v>
      </c>
      <c r="P114" s="57">
        <v>17069</v>
      </c>
      <c r="Q114" s="54"/>
      <c r="R114" s="54">
        <v>4327</v>
      </c>
      <c r="S114" s="54"/>
      <c r="T114" s="54"/>
      <c r="U114" s="16">
        <f t="shared" si="2"/>
        <v>3509354</v>
      </c>
    </row>
    <row r="115" spans="1:21" s="56" customFormat="1" ht="15" thickBot="1" x14ac:dyDescent="0.4">
      <c r="A115" s="52" t="s">
        <v>20</v>
      </c>
      <c r="B115" s="53">
        <v>46174</v>
      </c>
      <c r="C115" s="54" t="s">
        <v>54</v>
      </c>
      <c r="D115" s="54" t="s">
        <v>79</v>
      </c>
      <c r="E115" s="54" t="s">
        <v>23</v>
      </c>
      <c r="F115" s="54" t="s">
        <v>49</v>
      </c>
      <c r="G115" s="55">
        <v>977637</v>
      </c>
      <c r="H115" s="55">
        <v>72100</v>
      </c>
      <c r="I115" s="54">
        <v>8450</v>
      </c>
      <c r="J115" s="55">
        <v>41330</v>
      </c>
      <c r="K115" s="54">
        <v>35490</v>
      </c>
      <c r="L115" s="54">
        <v>7150</v>
      </c>
      <c r="M115" s="54"/>
      <c r="N115" s="54">
        <v>0</v>
      </c>
      <c r="O115" s="54"/>
      <c r="P115" s="54"/>
      <c r="Q115" s="54"/>
      <c r="R115" s="54">
        <v>4327</v>
      </c>
      <c r="S115" s="54"/>
      <c r="T115" s="54"/>
      <c r="U115" s="16">
        <f t="shared" si="2"/>
        <v>1146484</v>
      </c>
    </row>
    <row r="116" spans="1:21" s="56" customFormat="1" ht="15" thickBot="1" x14ac:dyDescent="0.4">
      <c r="A116" s="52" t="s">
        <v>20</v>
      </c>
      <c r="B116" s="53">
        <v>46174</v>
      </c>
      <c r="C116" s="54" t="s">
        <v>55</v>
      </c>
      <c r="D116" s="54" t="s">
        <v>82</v>
      </c>
      <c r="E116" s="54" t="s">
        <v>23</v>
      </c>
      <c r="F116" s="54" t="s">
        <v>49</v>
      </c>
      <c r="G116" s="54">
        <v>32963</v>
      </c>
      <c r="H116" s="55">
        <v>31657</v>
      </c>
      <c r="I116" s="54">
        <v>270075</v>
      </c>
      <c r="J116" s="55">
        <v>30000</v>
      </c>
      <c r="K116" s="54">
        <v>4000</v>
      </c>
      <c r="L116" s="54">
        <v>5800</v>
      </c>
      <c r="M116" s="54">
        <v>717</v>
      </c>
      <c r="N116" s="54">
        <v>0</v>
      </c>
      <c r="O116" s="54"/>
      <c r="P116" s="55"/>
      <c r="Q116" s="55"/>
      <c r="R116" s="55"/>
      <c r="S116" s="55">
        <v>84000</v>
      </c>
      <c r="T116" s="54" t="s">
        <v>88</v>
      </c>
      <c r="U116" s="16">
        <f t="shared" si="2"/>
        <v>459212</v>
      </c>
    </row>
    <row r="117" spans="1:21" s="56" customFormat="1" ht="15" thickBot="1" x14ac:dyDescent="0.4">
      <c r="A117" s="52" t="s">
        <v>20</v>
      </c>
      <c r="B117" s="53">
        <v>46174</v>
      </c>
      <c r="C117" s="54" t="s">
        <v>38</v>
      </c>
      <c r="D117" s="54" t="s">
        <v>82</v>
      </c>
      <c r="E117" s="54" t="s">
        <v>23</v>
      </c>
      <c r="F117" s="54" t="s">
        <v>49</v>
      </c>
      <c r="G117" s="54">
        <v>119959</v>
      </c>
      <c r="H117" s="55">
        <v>31675</v>
      </c>
      <c r="I117" s="54">
        <v>59507</v>
      </c>
      <c r="J117" s="55">
        <v>26000</v>
      </c>
      <c r="K117" s="54">
        <v>2800</v>
      </c>
      <c r="L117" s="54">
        <v>3200</v>
      </c>
      <c r="M117" s="54">
        <v>31934</v>
      </c>
      <c r="N117" s="54">
        <v>0</v>
      </c>
      <c r="O117" s="54">
        <v>2638</v>
      </c>
      <c r="P117" s="55">
        <v>4008</v>
      </c>
      <c r="Q117" s="55"/>
      <c r="R117" s="55">
        <v>2708.5</v>
      </c>
      <c r="S117" s="55"/>
      <c r="T117" s="54"/>
      <c r="U117" s="16">
        <f t="shared" si="2"/>
        <v>284429.5</v>
      </c>
    </row>
    <row r="118" spans="1:21" s="56" customFormat="1" ht="15" thickBot="1" x14ac:dyDescent="0.4">
      <c r="A118" s="52" t="s">
        <v>20</v>
      </c>
      <c r="B118" s="53">
        <v>46174</v>
      </c>
      <c r="C118" s="54" t="s">
        <v>33</v>
      </c>
      <c r="D118" s="54" t="s">
        <v>82</v>
      </c>
      <c r="E118" s="54" t="s">
        <v>23</v>
      </c>
      <c r="F118" s="54" t="s">
        <v>49</v>
      </c>
      <c r="G118" s="55">
        <v>3931348.5</v>
      </c>
      <c r="H118" s="55">
        <v>474859</v>
      </c>
      <c r="I118" s="54">
        <v>296050</v>
      </c>
      <c r="J118" s="55">
        <v>126310</v>
      </c>
      <c r="K118" s="54">
        <v>36320</v>
      </c>
      <c r="L118" s="54">
        <v>79540</v>
      </c>
      <c r="M118" s="54">
        <v>13190</v>
      </c>
      <c r="N118" s="54"/>
      <c r="O118" s="54">
        <v>4000</v>
      </c>
      <c r="P118" s="55">
        <v>10583</v>
      </c>
      <c r="Q118" s="55"/>
      <c r="R118" s="55">
        <v>2708.5</v>
      </c>
      <c r="S118" s="55"/>
      <c r="T118" s="54"/>
      <c r="U118" s="16">
        <f t="shared" si="2"/>
        <v>4974909</v>
      </c>
    </row>
    <row r="119" spans="1:21" s="56" customFormat="1" ht="15" thickBot="1" x14ac:dyDescent="0.4">
      <c r="A119" s="52" t="s">
        <v>20</v>
      </c>
      <c r="B119" s="53">
        <v>46174</v>
      </c>
      <c r="C119" s="54" t="s">
        <v>33</v>
      </c>
      <c r="D119" s="54" t="s">
        <v>57</v>
      </c>
      <c r="E119" s="54" t="s">
        <v>32</v>
      </c>
      <c r="F119" s="54" t="s">
        <v>49</v>
      </c>
      <c r="G119" s="54">
        <v>3788667</v>
      </c>
      <c r="H119" s="55">
        <v>349469.67</v>
      </c>
      <c r="I119" s="54">
        <v>5600</v>
      </c>
      <c r="J119" s="55">
        <v>74132</v>
      </c>
      <c r="K119" s="54">
        <v>19896</v>
      </c>
      <c r="L119" s="54">
        <v>23526</v>
      </c>
      <c r="M119" s="54"/>
      <c r="N119" s="54"/>
      <c r="O119" s="54"/>
      <c r="P119" s="57"/>
      <c r="Q119" s="54"/>
      <c r="R119" s="54">
        <v>3442</v>
      </c>
      <c r="S119" s="54"/>
      <c r="T119" s="54"/>
      <c r="U119" s="16">
        <f t="shared" si="2"/>
        <v>4264732.67</v>
      </c>
    </row>
    <row r="120" spans="1:21" s="63" customFormat="1" ht="15" thickBot="1" x14ac:dyDescent="0.4">
      <c r="A120" s="59" t="s">
        <v>20</v>
      </c>
      <c r="B120" s="60">
        <v>46174</v>
      </c>
      <c r="C120" s="61" t="s">
        <v>33</v>
      </c>
      <c r="D120" s="61" t="s">
        <v>58</v>
      </c>
      <c r="E120" s="61" t="s">
        <v>23</v>
      </c>
      <c r="F120" s="61" t="s">
        <v>49</v>
      </c>
      <c r="G120" s="61">
        <v>3848152</v>
      </c>
      <c r="H120" s="62">
        <v>683593.2</v>
      </c>
      <c r="I120" s="61">
        <v>10500</v>
      </c>
      <c r="J120" s="62">
        <v>104248</v>
      </c>
      <c r="K120" s="61">
        <v>55692</v>
      </c>
      <c r="L120" s="61">
        <v>29826</v>
      </c>
      <c r="M120" s="61"/>
      <c r="N120" s="61"/>
      <c r="O120" s="61"/>
      <c r="P120" s="61"/>
      <c r="Q120" s="61"/>
      <c r="R120" s="61">
        <v>6042</v>
      </c>
      <c r="S120" s="61"/>
      <c r="T120" s="61"/>
      <c r="U120" s="16">
        <f t="shared" si="2"/>
        <v>4738053.2</v>
      </c>
    </row>
    <row r="121" spans="1:21" s="70" customFormat="1" ht="15" thickBot="1" x14ac:dyDescent="0.4">
      <c r="A121" s="64" t="s">
        <v>20</v>
      </c>
      <c r="B121" s="65">
        <v>46204</v>
      </c>
      <c r="C121" s="66" t="s">
        <v>81</v>
      </c>
      <c r="D121" s="66" t="s">
        <v>80</v>
      </c>
      <c r="E121" s="66" t="s">
        <v>23</v>
      </c>
      <c r="F121" s="66" t="s">
        <v>49</v>
      </c>
      <c r="G121" s="66">
        <v>70047</v>
      </c>
      <c r="H121" s="110">
        <v>0</v>
      </c>
      <c r="I121" s="110">
        <v>2600</v>
      </c>
      <c r="J121" s="67">
        <v>0</v>
      </c>
      <c r="K121" s="68"/>
      <c r="L121" s="68"/>
      <c r="M121" s="67">
        <v>0</v>
      </c>
      <c r="N121" s="68"/>
      <c r="O121" s="68"/>
      <c r="P121" s="68"/>
      <c r="Q121" s="68"/>
      <c r="R121" s="68"/>
      <c r="S121" s="68"/>
      <c r="T121" s="69"/>
      <c r="U121" s="16">
        <f>SUM(G121:S121)</f>
        <v>72647</v>
      </c>
    </row>
    <row r="122" spans="1:21" s="79" customFormat="1" ht="15" thickBot="1" x14ac:dyDescent="0.4">
      <c r="A122" s="71" t="s">
        <v>20</v>
      </c>
      <c r="B122" s="72">
        <v>46204</v>
      </c>
      <c r="C122" s="73" t="s">
        <v>83</v>
      </c>
      <c r="D122" s="73" t="s">
        <v>80</v>
      </c>
      <c r="E122" s="73" t="s">
        <v>23</v>
      </c>
      <c r="F122" s="74" t="s">
        <v>49</v>
      </c>
      <c r="G122" s="73">
        <v>431518</v>
      </c>
      <c r="H122" s="76">
        <v>67483</v>
      </c>
      <c r="I122" s="90">
        <v>6500</v>
      </c>
      <c r="J122" s="76">
        <v>44980</v>
      </c>
      <c r="K122" s="76"/>
      <c r="L122" s="76">
        <v>6400</v>
      </c>
      <c r="M122" s="76">
        <v>4640</v>
      </c>
      <c r="N122" s="76">
        <v>9870</v>
      </c>
      <c r="O122" s="76"/>
      <c r="P122" s="77"/>
      <c r="Q122" s="77"/>
      <c r="R122" s="77"/>
      <c r="S122" s="77"/>
      <c r="T122" s="78"/>
      <c r="U122" s="16">
        <f t="shared" si="2"/>
        <v>571391</v>
      </c>
    </row>
    <row r="123" spans="1:21" s="79" customFormat="1" ht="15" thickBot="1" x14ac:dyDescent="0.4">
      <c r="A123" s="71" t="s">
        <v>20</v>
      </c>
      <c r="B123" s="72">
        <v>46204</v>
      </c>
      <c r="C123" s="73" t="s">
        <v>29</v>
      </c>
      <c r="D123" s="73" t="s">
        <v>78</v>
      </c>
      <c r="E123" s="73" t="s">
        <v>23</v>
      </c>
      <c r="F123" s="74" t="s">
        <v>49</v>
      </c>
      <c r="G123" s="73">
        <v>112493</v>
      </c>
      <c r="H123" s="76">
        <v>66160</v>
      </c>
      <c r="I123" s="90">
        <v>0</v>
      </c>
      <c r="J123" s="76">
        <v>9720.5</v>
      </c>
      <c r="K123" s="76">
        <v>2550</v>
      </c>
      <c r="L123" s="76">
        <v>2204</v>
      </c>
      <c r="M123" s="76">
        <v>3305</v>
      </c>
      <c r="N123" s="76">
        <v>5010</v>
      </c>
      <c r="O123" s="76">
        <v>4000</v>
      </c>
      <c r="P123" s="76">
        <v>1250</v>
      </c>
      <c r="Q123" s="76">
        <v>2167</v>
      </c>
      <c r="R123" s="76">
        <v>2540</v>
      </c>
      <c r="S123" s="76"/>
      <c r="T123" s="80"/>
      <c r="U123" s="16">
        <f t="shared" si="2"/>
        <v>211399.5</v>
      </c>
    </row>
    <row r="124" spans="1:21" s="79" customFormat="1" ht="15" thickBot="1" x14ac:dyDescent="0.4">
      <c r="A124" s="71" t="s">
        <v>20</v>
      </c>
      <c r="B124" s="72">
        <v>46204</v>
      </c>
      <c r="C124" s="73" t="s">
        <v>51</v>
      </c>
      <c r="D124" s="73" t="s">
        <v>78</v>
      </c>
      <c r="E124" s="73" t="s">
        <v>23</v>
      </c>
      <c r="F124" s="74" t="s">
        <v>49</v>
      </c>
      <c r="G124" s="73">
        <v>112493</v>
      </c>
      <c r="H124" s="76">
        <v>33080</v>
      </c>
      <c r="I124" s="90">
        <v>0</v>
      </c>
      <c r="J124" s="76">
        <v>9720.5</v>
      </c>
      <c r="K124" s="76">
        <v>2748</v>
      </c>
      <c r="L124" s="76">
        <v>2204</v>
      </c>
      <c r="M124" s="76">
        <v>3305</v>
      </c>
      <c r="N124" s="76"/>
      <c r="O124" s="76">
        <v>4000</v>
      </c>
      <c r="P124" s="76">
        <v>1250</v>
      </c>
      <c r="Q124" s="76">
        <v>2167</v>
      </c>
      <c r="R124" s="76">
        <v>2540</v>
      </c>
      <c r="S124" s="76"/>
      <c r="T124" s="80"/>
      <c r="U124" s="16">
        <f t="shared" si="2"/>
        <v>173507.5</v>
      </c>
    </row>
    <row r="125" spans="1:21" s="79" customFormat="1" ht="15" thickBot="1" x14ac:dyDescent="0.4">
      <c r="A125" s="71" t="s">
        <v>20</v>
      </c>
      <c r="B125" s="72">
        <v>46204</v>
      </c>
      <c r="C125" s="73" t="s">
        <v>52</v>
      </c>
      <c r="D125" s="73" t="s">
        <v>79</v>
      </c>
      <c r="E125" s="73" t="s">
        <v>23</v>
      </c>
      <c r="F125" s="74" t="s">
        <v>49</v>
      </c>
      <c r="G125" s="73">
        <v>2120262</v>
      </c>
      <c r="H125" s="76">
        <v>261206</v>
      </c>
      <c r="I125" s="90">
        <v>13200</v>
      </c>
      <c r="J125" s="76">
        <v>120227</v>
      </c>
      <c r="K125" s="76">
        <v>48401</v>
      </c>
      <c r="L125" s="76">
        <v>28050</v>
      </c>
      <c r="M125" s="76">
        <v>30779</v>
      </c>
      <c r="N125" s="76"/>
      <c r="O125" s="76">
        <v>19110</v>
      </c>
      <c r="P125" s="76">
        <v>19557</v>
      </c>
      <c r="Q125" s="76"/>
      <c r="R125" s="76">
        <v>8654</v>
      </c>
      <c r="S125" s="76"/>
      <c r="T125" s="80"/>
      <c r="U125" s="16">
        <f t="shared" si="2"/>
        <v>2669446</v>
      </c>
    </row>
    <row r="126" spans="1:21" s="79" customFormat="1" ht="15" thickBot="1" x14ac:dyDescent="0.4">
      <c r="A126" s="71" t="s">
        <v>20</v>
      </c>
      <c r="B126" s="72">
        <v>46204</v>
      </c>
      <c r="C126" s="73" t="s">
        <v>54</v>
      </c>
      <c r="D126" s="73" t="s">
        <v>79</v>
      </c>
      <c r="E126" s="73" t="s">
        <v>23</v>
      </c>
      <c r="F126" s="74" t="s">
        <v>49</v>
      </c>
      <c r="G126" s="73">
        <v>1061154</v>
      </c>
      <c r="H126" s="76">
        <v>65301</v>
      </c>
      <c r="I126" s="90">
        <v>1950</v>
      </c>
      <c r="J126" s="76">
        <v>40696</v>
      </c>
      <c r="K126" s="76">
        <v>26201</v>
      </c>
      <c r="L126" s="76"/>
      <c r="M126" s="76"/>
      <c r="N126" s="76"/>
      <c r="O126" s="76"/>
      <c r="P126" s="76"/>
      <c r="Q126" s="76"/>
      <c r="R126" s="76"/>
      <c r="S126" s="76"/>
      <c r="T126" s="80"/>
      <c r="U126" s="16">
        <f t="shared" si="2"/>
        <v>1195302</v>
      </c>
    </row>
    <row r="127" spans="1:21" s="79" customFormat="1" ht="15" thickBot="1" x14ac:dyDescent="0.4">
      <c r="A127" s="71" t="s">
        <v>20</v>
      </c>
      <c r="B127" s="72">
        <v>46204</v>
      </c>
      <c r="C127" s="73" t="s">
        <v>38</v>
      </c>
      <c r="D127" s="73" t="s">
        <v>79</v>
      </c>
      <c r="E127" s="73" t="s">
        <v>23</v>
      </c>
      <c r="F127" s="74" t="s">
        <v>49</v>
      </c>
      <c r="G127" s="73">
        <v>212926</v>
      </c>
      <c r="H127" s="76">
        <v>31675</v>
      </c>
      <c r="I127" s="90">
        <v>0</v>
      </c>
      <c r="J127" s="76">
        <v>20198</v>
      </c>
      <c r="K127" s="76">
        <v>2450</v>
      </c>
      <c r="L127" s="76">
        <v>3200</v>
      </c>
      <c r="M127" s="76">
        <v>23477</v>
      </c>
      <c r="N127" s="76"/>
      <c r="O127" s="76"/>
      <c r="P127" s="76">
        <v>3109</v>
      </c>
      <c r="Q127" s="76"/>
      <c r="R127" s="76"/>
      <c r="S127" s="76"/>
      <c r="T127" s="80"/>
      <c r="U127" s="16">
        <f t="shared" si="2"/>
        <v>297035</v>
      </c>
    </row>
    <row r="128" spans="1:21" s="79" customFormat="1" ht="15" thickBot="1" x14ac:dyDescent="0.4">
      <c r="A128" s="71" t="s">
        <v>20</v>
      </c>
      <c r="B128" s="72">
        <v>46204</v>
      </c>
      <c r="C128" s="73" t="s">
        <v>55</v>
      </c>
      <c r="D128" s="73" t="s">
        <v>82</v>
      </c>
      <c r="E128" s="73" t="s">
        <v>23</v>
      </c>
      <c r="F128" s="74" t="s">
        <v>49</v>
      </c>
      <c r="G128" s="73">
        <v>25904</v>
      </c>
      <c r="H128" s="76">
        <v>32650</v>
      </c>
      <c r="I128" s="90">
        <v>240471</v>
      </c>
      <c r="J128" s="76">
        <v>21323</v>
      </c>
      <c r="K128" s="76">
        <v>4000</v>
      </c>
      <c r="L128" s="76">
        <v>5800</v>
      </c>
      <c r="M128" s="76">
        <v>2420</v>
      </c>
      <c r="N128" s="76">
        <v>0</v>
      </c>
      <c r="O128" s="76"/>
      <c r="P128" s="76"/>
      <c r="Q128" s="76"/>
      <c r="R128" s="76"/>
      <c r="S128" s="76">
        <v>84000</v>
      </c>
      <c r="T128" s="80" t="s">
        <v>88</v>
      </c>
      <c r="U128" s="16">
        <f t="shared" si="2"/>
        <v>416568</v>
      </c>
    </row>
    <row r="129" spans="1:21" s="79" customFormat="1" ht="15" thickBot="1" x14ac:dyDescent="0.4">
      <c r="A129" s="71" t="s">
        <v>20</v>
      </c>
      <c r="B129" s="72">
        <v>46204</v>
      </c>
      <c r="C129" s="73" t="s">
        <v>33</v>
      </c>
      <c r="D129" s="73" t="s">
        <v>82</v>
      </c>
      <c r="E129" s="73" t="s">
        <v>23</v>
      </c>
      <c r="F129" s="74" t="s">
        <v>49</v>
      </c>
      <c r="G129" s="73">
        <v>4243624</v>
      </c>
      <c r="H129" s="76">
        <v>466505</v>
      </c>
      <c r="I129" s="90">
        <v>44710</v>
      </c>
      <c r="J129" s="76">
        <v>120227</v>
      </c>
      <c r="K129" s="76">
        <v>40320</v>
      </c>
      <c r="L129" s="76">
        <v>57780</v>
      </c>
      <c r="M129" s="76">
        <v>27429</v>
      </c>
      <c r="N129" s="76"/>
      <c r="O129" s="76">
        <v>13500</v>
      </c>
      <c r="P129" s="76">
        <v>11987</v>
      </c>
      <c r="Q129" s="76"/>
      <c r="R129" s="76">
        <v>5417</v>
      </c>
      <c r="S129" s="76"/>
      <c r="T129" s="80"/>
      <c r="U129" s="16">
        <f t="shared" si="2"/>
        <v>5031499</v>
      </c>
    </row>
    <row r="130" spans="1:21" s="79" customFormat="1" ht="15" thickBot="1" x14ac:dyDescent="0.4">
      <c r="A130" s="71" t="s">
        <v>20</v>
      </c>
      <c r="B130" s="72">
        <v>46204</v>
      </c>
      <c r="C130" s="73" t="s">
        <v>33</v>
      </c>
      <c r="D130" s="73" t="s">
        <v>57</v>
      </c>
      <c r="E130" s="73" t="s">
        <v>32</v>
      </c>
      <c r="F130" s="74" t="s">
        <v>49</v>
      </c>
      <c r="G130" s="73">
        <v>3293298</v>
      </c>
      <c r="H130" s="76">
        <v>365607</v>
      </c>
      <c r="I130" s="90">
        <v>33810</v>
      </c>
      <c r="J130" s="76">
        <v>60318</v>
      </c>
      <c r="K130" s="76">
        <v>28170</v>
      </c>
      <c r="L130" s="76">
        <v>23688</v>
      </c>
      <c r="M130" s="76"/>
      <c r="N130" s="76"/>
      <c r="O130" s="76"/>
      <c r="P130" s="76"/>
      <c r="Q130" s="76"/>
      <c r="R130" s="76">
        <v>3442</v>
      </c>
      <c r="S130" s="77"/>
      <c r="T130" s="78"/>
      <c r="U130" s="16">
        <f t="shared" si="2"/>
        <v>3808333</v>
      </c>
    </row>
    <row r="131" spans="1:21" s="79" customFormat="1" ht="15" thickBot="1" x14ac:dyDescent="0.4">
      <c r="A131" s="71" t="s">
        <v>20</v>
      </c>
      <c r="B131" s="72">
        <v>46204</v>
      </c>
      <c r="C131" s="73" t="s">
        <v>33</v>
      </c>
      <c r="D131" s="73" t="s">
        <v>58</v>
      </c>
      <c r="E131" s="73" t="s">
        <v>23</v>
      </c>
      <c r="F131" s="73" t="s">
        <v>49</v>
      </c>
      <c r="G131" s="73">
        <v>4055742</v>
      </c>
      <c r="H131" s="76">
        <v>683565</v>
      </c>
      <c r="I131" s="76">
        <v>508825</v>
      </c>
      <c r="J131" s="76"/>
      <c r="K131" s="76">
        <v>58680</v>
      </c>
      <c r="L131" s="227">
        <v>19818</v>
      </c>
      <c r="M131" s="81"/>
      <c r="N131" s="81"/>
      <c r="O131" s="81"/>
      <c r="P131" s="81"/>
      <c r="Q131" s="81"/>
      <c r="R131" s="227">
        <v>6042</v>
      </c>
      <c r="S131" s="76">
        <v>8500</v>
      </c>
      <c r="T131" s="178" t="s">
        <v>109</v>
      </c>
      <c r="U131" s="16">
        <f t="shared" si="2"/>
        <v>5341172</v>
      </c>
    </row>
    <row r="132" spans="1:21" s="79" customFormat="1" ht="15" thickBot="1" x14ac:dyDescent="0.4">
      <c r="A132" s="71" t="s">
        <v>20</v>
      </c>
      <c r="B132" s="177">
        <v>46204</v>
      </c>
      <c r="C132" s="73" t="s">
        <v>59</v>
      </c>
      <c r="D132" s="73" t="s">
        <v>60</v>
      </c>
      <c r="E132" s="73" t="s">
        <v>32</v>
      </c>
      <c r="F132" s="73" t="s">
        <v>61</v>
      </c>
      <c r="G132" s="76">
        <v>71241</v>
      </c>
      <c r="H132" s="76">
        <v>110437</v>
      </c>
      <c r="I132" s="76">
        <v>0</v>
      </c>
      <c r="J132" s="82">
        <v>17168</v>
      </c>
      <c r="K132" s="83"/>
      <c r="L132" s="83"/>
      <c r="M132" s="82">
        <v>16860</v>
      </c>
      <c r="N132" s="83"/>
      <c r="O132" s="83"/>
      <c r="P132" s="83"/>
      <c r="Q132" s="83"/>
      <c r="R132" s="83"/>
      <c r="S132" s="82">
        <v>4955</v>
      </c>
      <c r="T132" s="84"/>
      <c r="U132" s="16">
        <f t="shared" ref="U132:U157" si="3">SUM(G132:S132)</f>
        <v>220661</v>
      </c>
    </row>
    <row r="133" spans="1:21" s="79" customFormat="1" ht="15" thickBot="1" x14ac:dyDescent="0.4">
      <c r="A133" s="71" t="s">
        <v>20</v>
      </c>
      <c r="B133" s="72">
        <v>46204</v>
      </c>
      <c r="C133" s="73" t="s">
        <v>63</v>
      </c>
      <c r="D133" s="73" t="s">
        <v>64</v>
      </c>
      <c r="E133" s="73" t="s">
        <v>23</v>
      </c>
      <c r="F133" s="73" t="s">
        <v>61</v>
      </c>
      <c r="G133" s="76">
        <v>246943</v>
      </c>
      <c r="H133" s="76">
        <v>15855</v>
      </c>
      <c r="I133" s="76">
        <v>0</v>
      </c>
      <c r="J133" s="76">
        <v>39049.5</v>
      </c>
      <c r="K133" s="83"/>
      <c r="L133" s="83"/>
      <c r="M133" s="83"/>
      <c r="N133" s="83"/>
      <c r="O133" s="83"/>
      <c r="P133" s="83"/>
      <c r="Q133" s="83"/>
      <c r="R133" s="83"/>
      <c r="S133" s="83"/>
      <c r="T133" s="84"/>
      <c r="U133" s="16">
        <f t="shared" si="3"/>
        <v>301847.5</v>
      </c>
    </row>
    <row r="134" spans="1:21" s="79" customFormat="1" ht="15" thickBot="1" x14ac:dyDescent="0.4">
      <c r="A134" s="71" t="s">
        <v>20</v>
      </c>
      <c r="B134" s="72">
        <v>46204</v>
      </c>
      <c r="C134" s="73" t="s">
        <v>65</v>
      </c>
      <c r="D134" s="73" t="s">
        <v>64</v>
      </c>
      <c r="E134" s="73" t="s">
        <v>23</v>
      </c>
      <c r="F134" s="73" t="s">
        <v>61</v>
      </c>
      <c r="G134" s="76">
        <v>0</v>
      </c>
      <c r="H134" s="76">
        <v>15855</v>
      </c>
      <c r="I134" s="76">
        <v>0</v>
      </c>
      <c r="J134" s="76">
        <v>39049.5</v>
      </c>
      <c r="K134" s="76">
        <v>0</v>
      </c>
      <c r="L134" s="76">
        <v>0</v>
      </c>
      <c r="M134" s="76">
        <v>0</v>
      </c>
      <c r="N134" s="76">
        <v>0</v>
      </c>
      <c r="O134" s="76">
        <v>0</v>
      </c>
      <c r="P134" s="76">
        <v>0</v>
      </c>
      <c r="Q134" s="76">
        <v>0</v>
      </c>
      <c r="R134" s="76">
        <v>0</v>
      </c>
      <c r="S134" s="76">
        <v>0</v>
      </c>
      <c r="T134" s="176"/>
      <c r="U134" s="16">
        <f t="shared" si="3"/>
        <v>54904.5</v>
      </c>
    </row>
    <row r="135" spans="1:21" s="79" customFormat="1" ht="15" thickBot="1" x14ac:dyDescent="0.4">
      <c r="A135" s="71" t="s">
        <v>20</v>
      </c>
      <c r="B135" s="72">
        <v>46204</v>
      </c>
      <c r="C135" s="73" t="s">
        <v>81</v>
      </c>
      <c r="D135" s="73" t="s">
        <v>64</v>
      </c>
      <c r="E135" s="73" t="s">
        <v>23</v>
      </c>
      <c r="F135" s="73" t="s">
        <v>61</v>
      </c>
      <c r="G135" s="76">
        <v>230805</v>
      </c>
      <c r="H135" s="76">
        <v>47564</v>
      </c>
      <c r="I135" s="76">
        <v>0</v>
      </c>
      <c r="J135" s="76">
        <v>39049.5</v>
      </c>
      <c r="K135" s="83"/>
      <c r="L135" s="83"/>
      <c r="M135" s="83"/>
      <c r="N135" s="83"/>
      <c r="O135" s="83"/>
      <c r="P135" s="83"/>
      <c r="Q135" s="83"/>
      <c r="R135" s="83"/>
      <c r="S135" s="83"/>
      <c r="T135" s="84"/>
      <c r="U135" s="16">
        <f t="shared" si="3"/>
        <v>317418.5</v>
      </c>
    </row>
    <row r="136" spans="1:21" s="79" customFormat="1" ht="15" thickBot="1" x14ac:dyDescent="0.4">
      <c r="A136" s="71" t="s">
        <v>20</v>
      </c>
      <c r="B136" s="72">
        <v>46204</v>
      </c>
      <c r="C136" s="73" t="s">
        <v>38</v>
      </c>
      <c r="D136" s="73" t="s">
        <v>64</v>
      </c>
      <c r="E136" s="73" t="s">
        <v>23</v>
      </c>
      <c r="F136" s="73" t="s">
        <v>61</v>
      </c>
      <c r="G136" s="76">
        <v>118317</v>
      </c>
      <c r="H136" s="76">
        <v>15855</v>
      </c>
      <c r="I136" s="76">
        <v>0</v>
      </c>
      <c r="J136" s="76">
        <v>39049.5</v>
      </c>
      <c r="K136" s="83"/>
      <c r="L136" s="83"/>
      <c r="M136" s="83"/>
      <c r="N136" s="83"/>
      <c r="O136" s="83"/>
      <c r="P136" s="83"/>
      <c r="Q136" s="82"/>
      <c r="R136" s="83"/>
      <c r="S136" s="83"/>
      <c r="T136" s="84"/>
      <c r="U136" s="16">
        <f t="shared" si="3"/>
        <v>173221.5</v>
      </c>
    </row>
    <row r="137" spans="1:21" s="79" customFormat="1" ht="15" thickBot="1" x14ac:dyDescent="0.4">
      <c r="A137" s="71" t="s">
        <v>20</v>
      </c>
      <c r="B137" s="72">
        <v>46204</v>
      </c>
      <c r="C137" s="73" t="s">
        <v>66</v>
      </c>
      <c r="D137" s="73" t="s">
        <v>67</v>
      </c>
      <c r="E137" s="73" t="s">
        <v>32</v>
      </c>
      <c r="F137" s="73" t="s">
        <v>61</v>
      </c>
      <c r="G137" s="76">
        <v>3157816</v>
      </c>
      <c r="H137" s="76">
        <v>454990.92</v>
      </c>
      <c r="I137" s="76">
        <v>0</v>
      </c>
      <c r="J137" s="82">
        <v>176137</v>
      </c>
      <c r="K137" s="77">
        <v>0</v>
      </c>
      <c r="L137" s="82">
        <v>12060</v>
      </c>
      <c r="M137" s="82"/>
      <c r="N137" s="83"/>
      <c r="O137" s="82"/>
      <c r="P137" s="83"/>
      <c r="Q137" s="83"/>
      <c r="R137" s="82"/>
      <c r="S137" s="82"/>
      <c r="T137" s="84"/>
      <c r="U137" s="16">
        <f t="shared" si="3"/>
        <v>3801003.92</v>
      </c>
    </row>
    <row r="138" spans="1:21" s="79" customFormat="1" ht="15" thickBot="1" x14ac:dyDescent="0.4">
      <c r="A138" s="71" t="s">
        <v>20</v>
      </c>
      <c r="B138" s="72">
        <v>46204</v>
      </c>
      <c r="C138" s="73" t="s">
        <v>68</v>
      </c>
      <c r="D138" s="73" t="s">
        <v>69</v>
      </c>
      <c r="E138" s="73" t="s">
        <v>32</v>
      </c>
      <c r="F138" s="73" t="s">
        <v>61</v>
      </c>
      <c r="G138" s="76">
        <v>1029466</v>
      </c>
      <c r="H138" s="76">
        <v>0</v>
      </c>
      <c r="I138" s="76">
        <v>0</v>
      </c>
      <c r="J138" s="77">
        <v>0</v>
      </c>
      <c r="K138" s="83"/>
      <c r="L138" s="83"/>
      <c r="M138" s="83"/>
      <c r="N138" s="83"/>
      <c r="O138" s="83"/>
      <c r="P138" s="83"/>
      <c r="Q138" s="83"/>
      <c r="R138" s="83"/>
      <c r="S138" s="82">
        <v>90122</v>
      </c>
      <c r="T138" s="84"/>
      <c r="U138" s="16">
        <f t="shared" si="3"/>
        <v>1119588</v>
      </c>
    </row>
    <row r="139" spans="1:21" s="79" customFormat="1" ht="15" thickBot="1" x14ac:dyDescent="0.4">
      <c r="A139" s="71" t="s">
        <v>20</v>
      </c>
      <c r="B139" s="72">
        <v>46204</v>
      </c>
      <c r="C139" s="73" t="s">
        <v>83</v>
      </c>
      <c r="D139" s="73" t="s">
        <v>70</v>
      </c>
      <c r="E139" s="73" t="s">
        <v>32</v>
      </c>
      <c r="F139" s="73" t="s">
        <v>61</v>
      </c>
      <c r="G139" s="73">
        <v>188587</v>
      </c>
      <c r="H139" s="76">
        <v>30716</v>
      </c>
      <c r="I139" s="76">
        <v>0</v>
      </c>
      <c r="J139" s="82">
        <v>6625</v>
      </c>
      <c r="K139" s="82"/>
      <c r="L139" s="82"/>
      <c r="M139" s="82"/>
      <c r="N139" s="82"/>
      <c r="O139" s="83"/>
      <c r="P139" s="73"/>
      <c r="Q139" s="82"/>
      <c r="R139" s="83"/>
      <c r="S139" s="83"/>
      <c r="T139" s="84"/>
      <c r="U139" s="16">
        <f t="shared" si="3"/>
        <v>225928</v>
      </c>
    </row>
    <row r="140" spans="1:21" s="79" customFormat="1" ht="15" thickBot="1" x14ac:dyDescent="0.4">
      <c r="A140" s="71" t="s">
        <v>20</v>
      </c>
      <c r="B140" s="72">
        <v>46204</v>
      </c>
      <c r="C140" s="73" t="s">
        <v>33</v>
      </c>
      <c r="D140" s="73" t="s">
        <v>100</v>
      </c>
      <c r="E140" s="73" t="s">
        <v>32</v>
      </c>
      <c r="F140" s="73" t="s">
        <v>24</v>
      </c>
      <c r="G140" s="73">
        <v>11738615</v>
      </c>
      <c r="H140" s="86">
        <v>733216.89</v>
      </c>
      <c r="I140" s="86">
        <v>1673593</v>
      </c>
      <c r="J140" s="126"/>
      <c r="K140" s="82">
        <f>41293+38495</f>
        <v>79788</v>
      </c>
      <c r="L140" s="82">
        <v>36256</v>
      </c>
      <c r="M140" s="82"/>
      <c r="N140" s="82"/>
      <c r="O140" s="83"/>
      <c r="P140" s="73">
        <v>22000</v>
      </c>
      <c r="Q140" s="124"/>
      <c r="R140" s="125">
        <v>5416</v>
      </c>
      <c r="S140" s="83"/>
      <c r="T140" s="84"/>
      <c r="U140" s="16">
        <f t="shared" si="3"/>
        <v>14288884.890000001</v>
      </c>
    </row>
    <row r="141" spans="1:21" s="79" customFormat="1" ht="15" thickBot="1" x14ac:dyDescent="0.4">
      <c r="A141" s="71" t="s">
        <v>20</v>
      </c>
      <c r="B141" s="72">
        <v>46204</v>
      </c>
      <c r="C141" s="73" t="s">
        <v>33</v>
      </c>
      <c r="D141" s="73" t="s">
        <v>101</v>
      </c>
      <c r="E141" s="73" t="s">
        <v>32</v>
      </c>
      <c r="F141" s="73" t="s">
        <v>24</v>
      </c>
      <c r="G141" s="73">
        <v>3743768</v>
      </c>
      <c r="H141" s="86">
        <v>316841</v>
      </c>
      <c r="I141" s="86"/>
      <c r="J141" s="124">
        <v>89733</v>
      </c>
      <c r="K141" s="82">
        <v>42435</v>
      </c>
      <c r="L141" s="82">
        <v>18768</v>
      </c>
      <c r="M141" s="76">
        <v>28259</v>
      </c>
      <c r="N141" s="82"/>
      <c r="O141" s="83"/>
      <c r="P141" s="73"/>
      <c r="Q141" s="124"/>
      <c r="R141" s="86">
        <v>4200</v>
      </c>
      <c r="S141" s="73">
        <v>13272</v>
      </c>
      <c r="T141" s="73" t="s">
        <v>113</v>
      </c>
      <c r="U141" s="16">
        <f t="shared" si="3"/>
        <v>4257276</v>
      </c>
    </row>
    <row r="142" spans="1:21" s="79" customFormat="1" ht="15" thickBot="1" x14ac:dyDescent="0.4">
      <c r="A142" s="71" t="s">
        <v>20</v>
      </c>
      <c r="B142" s="72">
        <v>46204</v>
      </c>
      <c r="C142" s="73" t="s">
        <v>33</v>
      </c>
      <c r="D142" s="73" t="s">
        <v>102</v>
      </c>
      <c r="E142" s="73" t="s">
        <v>32</v>
      </c>
      <c r="F142" s="73" t="s">
        <v>24</v>
      </c>
      <c r="G142" s="73">
        <v>618606</v>
      </c>
      <c r="H142" s="86">
        <v>274754.74</v>
      </c>
      <c r="I142" s="102">
        <v>0</v>
      </c>
      <c r="J142" s="86">
        <v>270712</v>
      </c>
      <c r="K142" s="73">
        <v>38050</v>
      </c>
      <c r="L142" s="73">
        <v>30304</v>
      </c>
      <c r="M142" s="75"/>
      <c r="N142" s="75"/>
      <c r="O142" s="75"/>
      <c r="P142" s="73"/>
      <c r="Q142" s="85"/>
      <c r="R142" s="102">
        <v>4900</v>
      </c>
      <c r="S142" s="178"/>
      <c r="T142" s="178"/>
      <c r="U142" s="16">
        <f t="shared" si="3"/>
        <v>1237326.74</v>
      </c>
    </row>
    <row r="143" spans="1:21" s="79" customFormat="1" ht="15" thickBot="1" x14ac:dyDescent="0.4">
      <c r="A143" s="71" t="s">
        <v>20</v>
      </c>
      <c r="B143" s="72">
        <v>46204</v>
      </c>
      <c r="C143" s="73" t="s">
        <v>33</v>
      </c>
      <c r="D143" s="73" t="s">
        <v>41</v>
      </c>
      <c r="E143" s="73" t="s">
        <v>32</v>
      </c>
      <c r="F143" s="73" t="s">
        <v>24</v>
      </c>
      <c r="G143" s="73">
        <v>3543727</v>
      </c>
      <c r="H143" s="73">
        <v>294495</v>
      </c>
      <c r="I143" s="73">
        <v>40500</v>
      </c>
      <c r="J143" s="76">
        <v>99578</v>
      </c>
      <c r="K143" s="73">
        <v>72387</v>
      </c>
      <c r="L143" s="73">
        <v>23550</v>
      </c>
      <c r="M143" s="75"/>
      <c r="N143" s="75"/>
      <c r="O143" s="75"/>
      <c r="P143" s="73">
        <v>7500</v>
      </c>
      <c r="Q143" s="75"/>
      <c r="R143" s="73">
        <v>4900</v>
      </c>
      <c r="S143" s="73">
        <v>34608</v>
      </c>
      <c r="T143" s="73" t="s">
        <v>108</v>
      </c>
      <c r="U143" s="16">
        <f t="shared" si="3"/>
        <v>4121245</v>
      </c>
    </row>
    <row r="144" spans="1:21" s="79" customFormat="1" ht="15" thickBot="1" x14ac:dyDescent="0.4">
      <c r="A144" s="71" t="s">
        <v>20</v>
      </c>
      <c r="B144" s="72">
        <v>46204</v>
      </c>
      <c r="C144" s="73" t="s">
        <v>42</v>
      </c>
      <c r="D144" s="73" t="s">
        <v>43</v>
      </c>
      <c r="E144" s="73" t="s">
        <v>32</v>
      </c>
      <c r="F144" s="73" t="s">
        <v>24</v>
      </c>
      <c r="G144" s="73">
        <v>119033</v>
      </c>
      <c r="H144" s="73">
        <v>56967</v>
      </c>
      <c r="I144" s="73">
        <v>0</v>
      </c>
      <c r="J144" s="73">
        <v>0</v>
      </c>
      <c r="K144" s="73">
        <v>10890</v>
      </c>
      <c r="L144" s="73">
        <v>2700</v>
      </c>
      <c r="M144" s="73">
        <v>0</v>
      </c>
      <c r="N144" s="73">
        <v>0</v>
      </c>
      <c r="O144" s="73">
        <v>0</v>
      </c>
      <c r="P144" s="73">
        <v>0</v>
      </c>
      <c r="Q144" s="103">
        <v>0</v>
      </c>
      <c r="R144" s="103">
        <v>0</v>
      </c>
      <c r="S144" s="73">
        <v>0</v>
      </c>
      <c r="T144" s="178"/>
      <c r="U144" s="16">
        <f t="shared" si="3"/>
        <v>189590</v>
      </c>
    </row>
    <row r="145" spans="1:21" s="79" customFormat="1" ht="15" thickBot="1" x14ac:dyDescent="0.4">
      <c r="A145" s="71" t="s">
        <v>20</v>
      </c>
      <c r="B145" s="72">
        <v>46204</v>
      </c>
      <c r="C145" s="73" t="s">
        <v>21</v>
      </c>
      <c r="D145" s="73" t="s">
        <v>22</v>
      </c>
      <c r="E145" s="73" t="s">
        <v>23</v>
      </c>
      <c r="F145" s="74" t="s">
        <v>40</v>
      </c>
      <c r="G145" s="74">
        <v>112293</v>
      </c>
      <c r="H145" s="74">
        <v>95581</v>
      </c>
      <c r="I145" s="74">
        <v>0</v>
      </c>
      <c r="J145" s="90">
        <v>6201.5</v>
      </c>
      <c r="K145" s="74">
        <v>5459</v>
      </c>
      <c r="L145" s="74">
        <v>2580</v>
      </c>
      <c r="M145" s="74">
        <v>0</v>
      </c>
      <c r="N145" s="74">
        <v>0</v>
      </c>
      <c r="O145" s="74">
        <v>2500</v>
      </c>
      <c r="P145" s="74"/>
      <c r="Q145" s="74">
        <v>3125</v>
      </c>
      <c r="R145" s="74">
        <f>5416/4</f>
        <v>1354</v>
      </c>
      <c r="S145" s="73">
        <v>0</v>
      </c>
      <c r="T145" s="73"/>
      <c r="U145" s="16">
        <f t="shared" si="3"/>
        <v>229093.5</v>
      </c>
    </row>
    <row r="146" spans="1:21" s="79" customFormat="1" ht="15" thickBot="1" x14ac:dyDescent="0.4">
      <c r="A146" s="71" t="s">
        <v>20</v>
      </c>
      <c r="B146" s="72">
        <v>46204</v>
      </c>
      <c r="C146" s="73" t="s">
        <v>26</v>
      </c>
      <c r="D146" s="73" t="s">
        <v>22</v>
      </c>
      <c r="E146" s="73" t="s">
        <v>23</v>
      </c>
      <c r="F146" s="74" t="s">
        <v>40</v>
      </c>
      <c r="G146" s="74">
        <v>569401</v>
      </c>
      <c r="H146" s="90">
        <v>59732.5</v>
      </c>
      <c r="I146" s="74">
        <v>0</v>
      </c>
      <c r="J146" s="90">
        <v>6201.5</v>
      </c>
      <c r="K146" s="74">
        <v>16700</v>
      </c>
      <c r="L146" s="74">
        <v>6560</v>
      </c>
      <c r="M146" s="74">
        <v>60937</v>
      </c>
      <c r="N146" s="74">
        <v>2800</v>
      </c>
      <c r="O146" s="74">
        <v>2500</v>
      </c>
      <c r="P146" s="74">
        <v>10998</v>
      </c>
      <c r="Q146" s="74">
        <v>3125</v>
      </c>
      <c r="R146" s="74">
        <f t="shared" ref="R146:R148" si="4">5416/4</f>
        <v>1354</v>
      </c>
      <c r="S146" s="73">
        <v>8200</v>
      </c>
      <c r="T146" s="73" t="s">
        <v>90</v>
      </c>
      <c r="U146" s="16">
        <f t="shared" si="3"/>
        <v>748509</v>
      </c>
    </row>
    <row r="147" spans="1:21" s="79" customFormat="1" ht="15" thickBot="1" x14ac:dyDescent="0.4">
      <c r="A147" s="71" t="s">
        <v>20</v>
      </c>
      <c r="B147" s="72">
        <v>46204</v>
      </c>
      <c r="C147" s="73" t="s">
        <v>28</v>
      </c>
      <c r="D147" s="73" t="s">
        <v>22</v>
      </c>
      <c r="E147" s="73" t="s">
        <v>23</v>
      </c>
      <c r="F147" s="74" t="s">
        <v>40</v>
      </c>
      <c r="G147" s="74">
        <v>90908</v>
      </c>
      <c r="H147" s="74">
        <v>0</v>
      </c>
      <c r="I147" s="74">
        <v>0</v>
      </c>
      <c r="J147" s="90">
        <v>6201.5</v>
      </c>
      <c r="K147" s="74">
        <v>2112</v>
      </c>
      <c r="L147" s="74">
        <v>1200</v>
      </c>
      <c r="M147" s="74">
        <v>6142</v>
      </c>
      <c r="N147" s="74">
        <v>0</v>
      </c>
      <c r="O147" s="74">
        <v>2500</v>
      </c>
      <c r="P147" s="74">
        <v>0</v>
      </c>
      <c r="Q147" s="74">
        <v>3125</v>
      </c>
      <c r="R147" s="74">
        <f t="shared" si="4"/>
        <v>1354</v>
      </c>
      <c r="S147" s="73">
        <v>0</v>
      </c>
      <c r="T147" s="73"/>
      <c r="U147" s="16">
        <f t="shared" si="3"/>
        <v>113542.5</v>
      </c>
    </row>
    <row r="148" spans="1:21" s="79" customFormat="1" ht="15" thickBot="1" x14ac:dyDescent="0.4">
      <c r="A148" s="71" t="s">
        <v>20</v>
      </c>
      <c r="B148" s="72">
        <v>46204</v>
      </c>
      <c r="C148" s="73" t="s">
        <v>29</v>
      </c>
      <c r="D148" s="73" t="s">
        <v>22</v>
      </c>
      <c r="E148" s="73" t="s">
        <v>23</v>
      </c>
      <c r="F148" s="74" t="s">
        <v>40</v>
      </c>
      <c r="G148" s="74">
        <v>46839</v>
      </c>
      <c r="H148" s="90">
        <v>59732.5</v>
      </c>
      <c r="I148" s="74">
        <v>0</v>
      </c>
      <c r="J148" s="90">
        <v>6201.5</v>
      </c>
      <c r="K148" s="74">
        <v>4315</v>
      </c>
      <c r="L148" s="74">
        <v>4520</v>
      </c>
      <c r="M148" s="74">
        <v>0</v>
      </c>
      <c r="N148" s="74">
        <v>0</v>
      </c>
      <c r="O148" s="74">
        <v>2500</v>
      </c>
      <c r="P148" s="74">
        <v>4000</v>
      </c>
      <c r="Q148" s="74">
        <v>3125</v>
      </c>
      <c r="R148" s="74">
        <f t="shared" si="4"/>
        <v>1354</v>
      </c>
      <c r="S148" s="73">
        <v>0</v>
      </c>
      <c r="T148" s="73"/>
      <c r="U148" s="16">
        <f t="shared" si="3"/>
        <v>132587</v>
      </c>
    </row>
    <row r="149" spans="1:21" s="79" customFormat="1" ht="15" thickBot="1" x14ac:dyDescent="0.4">
      <c r="A149" s="71" t="s">
        <v>20</v>
      </c>
      <c r="B149" s="72">
        <v>46204</v>
      </c>
      <c r="C149" s="73" t="s">
        <v>33</v>
      </c>
      <c r="D149" s="73" t="s">
        <v>34</v>
      </c>
      <c r="E149" s="73" t="s">
        <v>32</v>
      </c>
      <c r="F149" s="74" t="s">
        <v>40</v>
      </c>
      <c r="G149" s="90">
        <v>4089332</v>
      </c>
      <c r="H149" s="74">
        <v>443835</v>
      </c>
      <c r="I149" s="74">
        <v>0</v>
      </c>
      <c r="J149" s="74">
        <v>94437</v>
      </c>
      <c r="K149" s="74">
        <v>33433</v>
      </c>
      <c r="L149" s="74">
        <v>18510</v>
      </c>
      <c r="M149" s="74">
        <v>22652</v>
      </c>
      <c r="N149" s="74">
        <v>5000</v>
      </c>
      <c r="O149" s="74">
        <v>15000</v>
      </c>
      <c r="P149" s="74">
        <v>0</v>
      </c>
      <c r="Q149" s="74">
        <v>15000</v>
      </c>
      <c r="R149" s="74">
        <v>4200</v>
      </c>
      <c r="S149" s="74">
        <v>4200</v>
      </c>
      <c r="T149" s="74" t="s">
        <v>72</v>
      </c>
      <c r="U149" s="16">
        <f t="shared" si="3"/>
        <v>4745599</v>
      </c>
    </row>
    <row r="150" spans="1:21" s="79" customFormat="1" ht="15" thickBot="1" x14ac:dyDescent="0.4">
      <c r="A150" s="71" t="s">
        <v>20</v>
      </c>
      <c r="B150" s="72">
        <v>46204</v>
      </c>
      <c r="C150" s="73" t="s">
        <v>87</v>
      </c>
      <c r="D150" s="73" t="s">
        <v>36</v>
      </c>
      <c r="E150" s="73" t="s">
        <v>23</v>
      </c>
      <c r="F150" s="73" t="s">
        <v>40</v>
      </c>
      <c r="G150" s="102">
        <v>201867</v>
      </c>
      <c r="H150" s="73">
        <v>35376</v>
      </c>
      <c r="I150" s="73">
        <v>74729</v>
      </c>
      <c r="J150" s="76">
        <v>17084.333333333332</v>
      </c>
      <c r="K150" s="73">
        <v>1056</v>
      </c>
      <c r="L150" s="73">
        <v>1026</v>
      </c>
      <c r="M150" s="73"/>
      <c r="N150" s="73"/>
      <c r="O150" s="73">
        <v>2333</v>
      </c>
      <c r="P150" s="73">
        <v>0</v>
      </c>
      <c r="Q150" s="76">
        <v>1333</v>
      </c>
      <c r="R150" s="102">
        <v>1770</v>
      </c>
      <c r="S150" s="102">
        <v>0</v>
      </c>
      <c r="T150" s="87"/>
      <c r="U150" s="16">
        <f t="shared" si="3"/>
        <v>336574.33333333331</v>
      </c>
    </row>
    <row r="151" spans="1:21" s="79" customFormat="1" ht="15" thickBot="1" x14ac:dyDescent="0.4">
      <c r="A151" s="71" t="s">
        <v>20</v>
      </c>
      <c r="B151" s="72">
        <v>46204</v>
      </c>
      <c r="C151" s="73" t="s">
        <v>38</v>
      </c>
      <c r="D151" s="73" t="s">
        <v>36</v>
      </c>
      <c r="E151" s="73" t="s">
        <v>23</v>
      </c>
      <c r="F151" s="73" t="s">
        <v>40</v>
      </c>
      <c r="G151" s="73">
        <v>134123</v>
      </c>
      <c r="H151" s="73">
        <v>35376</v>
      </c>
      <c r="I151" s="73">
        <v>900</v>
      </c>
      <c r="J151" s="76">
        <v>17084.333333333332</v>
      </c>
      <c r="K151" s="73">
        <v>4176</v>
      </c>
      <c r="L151" s="73">
        <v>1026</v>
      </c>
      <c r="M151" s="73"/>
      <c r="N151" s="73"/>
      <c r="O151" s="73">
        <v>2333</v>
      </c>
      <c r="P151" s="73">
        <v>7097</v>
      </c>
      <c r="Q151" s="73">
        <v>1333</v>
      </c>
      <c r="R151" s="73">
        <v>1770</v>
      </c>
      <c r="S151" s="73">
        <v>0</v>
      </c>
      <c r="T151" s="88"/>
      <c r="U151" s="16">
        <f t="shared" si="3"/>
        <v>205218.33333333334</v>
      </c>
    </row>
    <row r="152" spans="1:21" s="79" customFormat="1" ht="15" thickBot="1" x14ac:dyDescent="0.4">
      <c r="A152" s="71" t="s">
        <v>20</v>
      </c>
      <c r="B152" s="72">
        <v>46204</v>
      </c>
      <c r="C152" s="73" t="s">
        <v>39</v>
      </c>
      <c r="D152" s="73" t="s">
        <v>36</v>
      </c>
      <c r="E152" s="73" t="s">
        <v>23</v>
      </c>
      <c r="F152" s="73" t="s">
        <v>40</v>
      </c>
      <c r="G152" s="73">
        <v>17875</v>
      </c>
      <c r="H152" s="73">
        <v>35376</v>
      </c>
      <c r="I152" s="73">
        <v>3600</v>
      </c>
      <c r="J152" s="76">
        <v>17084.333333333332</v>
      </c>
      <c r="K152" s="73">
        <v>1376</v>
      </c>
      <c r="L152" s="73">
        <v>1026</v>
      </c>
      <c r="M152" s="73"/>
      <c r="N152" s="73"/>
      <c r="O152" s="73">
        <v>2333</v>
      </c>
      <c r="P152" s="73">
        <v>0</v>
      </c>
      <c r="Q152" s="73">
        <v>1333</v>
      </c>
      <c r="R152" s="103">
        <v>1770</v>
      </c>
      <c r="S152" s="103">
        <v>0</v>
      </c>
      <c r="T152" s="89"/>
      <c r="U152" s="16">
        <f t="shared" si="3"/>
        <v>81773.333333333328</v>
      </c>
    </row>
    <row r="153" spans="1:21" s="79" customFormat="1" ht="15" thickBot="1" x14ac:dyDescent="0.4">
      <c r="A153" s="71" t="s">
        <v>20</v>
      </c>
      <c r="B153" s="72">
        <v>46204</v>
      </c>
      <c r="C153" s="73" t="s">
        <v>73</v>
      </c>
      <c r="D153" s="73" t="s">
        <v>74</v>
      </c>
      <c r="E153" s="73" t="s">
        <v>75</v>
      </c>
      <c r="F153" s="73" t="s">
        <v>40</v>
      </c>
      <c r="G153" s="73">
        <v>394620</v>
      </c>
      <c r="H153" s="73">
        <v>0</v>
      </c>
      <c r="I153" s="73">
        <v>0</v>
      </c>
      <c r="J153" s="73">
        <v>185817</v>
      </c>
      <c r="K153" s="73">
        <v>40622</v>
      </c>
      <c r="L153" s="73">
        <v>13230</v>
      </c>
      <c r="M153" s="73">
        <v>0</v>
      </c>
      <c r="N153" s="73">
        <v>0</v>
      </c>
      <c r="O153" s="73">
        <v>0</v>
      </c>
      <c r="P153" s="73">
        <v>0</v>
      </c>
      <c r="Q153" s="73">
        <v>0</v>
      </c>
      <c r="R153" s="73">
        <v>0</v>
      </c>
      <c r="S153" s="73">
        <v>0</v>
      </c>
      <c r="T153" s="88"/>
      <c r="U153" s="16">
        <f t="shared" si="3"/>
        <v>634289</v>
      </c>
    </row>
    <row r="154" spans="1:21" s="79" customFormat="1" ht="15" thickBot="1" x14ac:dyDescent="0.4">
      <c r="A154" s="71" t="s">
        <v>20</v>
      </c>
      <c r="B154" s="72">
        <v>46204</v>
      </c>
      <c r="C154" s="73" t="s">
        <v>29</v>
      </c>
      <c r="D154" s="73" t="s">
        <v>44</v>
      </c>
      <c r="E154" s="73" t="s">
        <v>23</v>
      </c>
      <c r="F154" s="73" t="s">
        <v>45</v>
      </c>
      <c r="G154" s="73">
        <v>32501</v>
      </c>
      <c r="H154" s="73">
        <f>119175/3</f>
        <v>39725</v>
      </c>
      <c r="I154" s="73">
        <v>0</v>
      </c>
      <c r="J154" s="76">
        <v>0</v>
      </c>
      <c r="K154" s="73">
        <v>1964</v>
      </c>
      <c r="L154" s="73">
        <v>504</v>
      </c>
      <c r="M154" s="73">
        <v>1475</v>
      </c>
      <c r="N154" s="102">
        <v>3740</v>
      </c>
      <c r="O154" s="102"/>
      <c r="P154" s="106">
        <v>0</v>
      </c>
      <c r="Q154" s="104"/>
      <c r="R154" s="104"/>
      <c r="S154" s="104"/>
      <c r="T154" s="105"/>
      <c r="U154" s="16">
        <f t="shared" si="3"/>
        <v>79909</v>
      </c>
    </row>
    <row r="155" spans="1:21" s="79" customFormat="1" ht="15" thickBot="1" x14ac:dyDescent="0.4">
      <c r="A155" s="71" t="s">
        <v>20</v>
      </c>
      <c r="B155" s="72">
        <v>46204</v>
      </c>
      <c r="C155" s="73" t="s">
        <v>66</v>
      </c>
      <c r="D155" s="73" t="s">
        <v>44</v>
      </c>
      <c r="E155" s="73" t="s">
        <v>23</v>
      </c>
      <c r="F155" s="74" t="s">
        <v>45</v>
      </c>
      <c r="G155" s="73">
        <v>2832943</v>
      </c>
      <c r="H155" s="73">
        <v>228506</v>
      </c>
      <c r="I155" s="107">
        <v>0</v>
      </c>
      <c r="J155" s="90">
        <v>226520</v>
      </c>
      <c r="K155" s="73">
        <v>53094</v>
      </c>
      <c r="L155" s="91"/>
      <c r="M155" s="91"/>
      <c r="N155" s="91"/>
      <c r="O155" s="102"/>
      <c r="P155" s="73">
        <v>10500</v>
      </c>
      <c r="Q155" s="91"/>
      <c r="R155" s="73">
        <v>10353</v>
      </c>
      <c r="S155" s="73">
        <v>118671</v>
      </c>
      <c r="T155" s="93" t="s">
        <v>85</v>
      </c>
      <c r="U155" s="16">
        <f t="shared" si="3"/>
        <v>3480587</v>
      </c>
    </row>
    <row r="156" spans="1:21" s="79" customFormat="1" ht="15" thickBot="1" x14ac:dyDescent="0.4">
      <c r="A156" s="71" t="s">
        <v>20</v>
      </c>
      <c r="B156" s="72">
        <v>46204</v>
      </c>
      <c r="C156" s="73" t="s">
        <v>47</v>
      </c>
      <c r="D156" s="73" t="s">
        <v>44</v>
      </c>
      <c r="E156" s="73" t="s">
        <v>23</v>
      </c>
      <c r="F156" s="74" t="s">
        <v>45</v>
      </c>
      <c r="G156" s="73">
        <v>98002</v>
      </c>
      <c r="H156" s="73">
        <v>39725</v>
      </c>
      <c r="I156" s="107">
        <v>2220</v>
      </c>
      <c r="J156" s="90">
        <v>21046</v>
      </c>
      <c r="K156" s="73">
        <v>2700</v>
      </c>
      <c r="L156" s="73">
        <v>648</v>
      </c>
      <c r="M156" s="73">
        <v>4840</v>
      </c>
      <c r="N156" s="73">
        <v>699</v>
      </c>
      <c r="O156" s="102">
        <v>7000</v>
      </c>
      <c r="P156" s="73">
        <v>3376</v>
      </c>
      <c r="Q156" s="91"/>
      <c r="R156" s="91"/>
      <c r="S156" s="91"/>
      <c r="T156" s="92"/>
      <c r="U156" s="16">
        <f t="shared" si="3"/>
        <v>180256</v>
      </c>
    </row>
    <row r="157" spans="1:21" s="101" customFormat="1" ht="15" thickBot="1" x14ac:dyDescent="0.4">
      <c r="A157" s="94" t="s">
        <v>20</v>
      </c>
      <c r="B157" s="95">
        <v>46204</v>
      </c>
      <c r="C157" s="96" t="s">
        <v>48</v>
      </c>
      <c r="D157" s="96" t="s">
        <v>44</v>
      </c>
      <c r="E157" s="96" t="s">
        <v>23</v>
      </c>
      <c r="F157" s="97" t="s">
        <v>45</v>
      </c>
      <c r="G157" s="96">
        <v>159490</v>
      </c>
      <c r="H157" s="96">
        <v>39725</v>
      </c>
      <c r="I157" s="108">
        <f>1700+103831</f>
        <v>105531</v>
      </c>
      <c r="J157" s="99">
        <v>21046</v>
      </c>
      <c r="K157" s="96">
        <v>6168</v>
      </c>
      <c r="L157" s="96">
        <v>1200</v>
      </c>
      <c r="M157" s="96">
        <v>7610</v>
      </c>
      <c r="N157" s="96">
        <v>9119</v>
      </c>
      <c r="O157" s="102">
        <v>7000</v>
      </c>
      <c r="P157" s="96">
        <v>4335</v>
      </c>
      <c r="Q157" s="98"/>
      <c r="R157" s="98"/>
      <c r="S157" s="98"/>
      <c r="T157" s="100"/>
      <c r="U157" s="16">
        <f t="shared" si="3"/>
        <v>361224</v>
      </c>
    </row>
    <row r="158" spans="1:21" s="147" customFormat="1" ht="15" thickBot="1" x14ac:dyDescent="0.4">
      <c r="A158" s="132" t="s">
        <v>20</v>
      </c>
      <c r="B158" s="133">
        <v>46235</v>
      </c>
      <c r="C158" s="134" t="s">
        <v>81</v>
      </c>
      <c r="D158" s="134" t="s">
        <v>80</v>
      </c>
      <c r="E158" s="134" t="s">
        <v>23</v>
      </c>
      <c r="F158" s="134" t="s">
        <v>49</v>
      </c>
      <c r="G158" s="134">
        <v>59522</v>
      </c>
      <c r="H158" s="143">
        <v>0</v>
      </c>
      <c r="I158" s="143">
        <v>0</v>
      </c>
      <c r="J158" s="144">
        <v>0</v>
      </c>
      <c r="K158" s="144">
        <v>0</v>
      </c>
      <c r="L158" s="144">
        <v>0</v>
      </c>
      <c r="M158" s="144">
        <v>0</v>
      </c>
      <c r="N158" s="144">
        <v>0</v>
      </c>
      <c r="O158" s="144">
        <v>0</v>
      </c>
      <c r="P158" s="144">
        <v>0</v>
      </c>
      <c r="Q158" s="144">
        <v>0</v>
      </c>
      <c r="R158" s="145"/>
      <c r="S158" s="145"/>
      <c r="T158" s="146"/>
      <c r="U158" s="16">
        <f t="shared" ref="U132:U196" si="5">SUM(G158:S158)</f>
        <v>59522</v>
      </c>
    </row>
    <row r="159" spans="1:21" s="152" customFormat="1" ht="15" thickBot="1" x14ac:dyDescent="0.4">
      <c r="A159" s="135" t="s">
        <v>20</v>
      </c>
      <c r="B159" s="136">
        <v>46235</v>
      </c>
      <c r="C159" s="137" t="s">
        <v>83</v>
      </c>
      <c r="D159" s="137" t="s">
        <v>80</v>
      </c>
      <c r="E159" s="137" t="s">
        <v>23</v>
      </c>
      <c r="F159" s="138" t="s">
        <v>49</v>
      </c>
      <c r="G159" s="137">
        <v>679333</v>
      </c>
      <c r="H159" s="148">
        <v>67483</v>
      </c>
      <c r="I159" s="149">
        <v>0</v>
      </c>
      <c r="J159" s="148">
        <v>45960</v>
      </c>
      <c r="K159" s="148">
        <v>0</v>
      </c>
      <c r="L159" s="148">
        <v>11200</v>
      </c>
      <c r="M159" s="148">
        <v>4400</v>
      </c>
      <c r="N159" s="148">
        <v>21163</v>
      </c>
      <c r="O159" s="148"/>
      <c r="P159" s="150"/>
      <c r="Q159" s="150"/>
      <c r="R159" s="150"/>
      <c r="S159" s="150"/>
      <c r="T159" s="151"/>
      <c r="U159" s="16">
        <f t="shared" si="5"/>
        <v>829539</v>
      </c>
    </row>
    <row r="160" spans="1:21" s="152" customFormat="1" ht="15" thickBot="1" x14ac:dyDescent="0.4">
      <c r="A160" s="135" t="s">
        <v>20</v>
      </c>
      <c r="B160" s="136">
        <v>46235</v>
      </c>
      <c r="C160" s="137" t="s">
        <v>29</v>
      </c>
      <c r="D160" s="137" t="s">
        <v>78</v>
      </c>
      <c r="E160" s="137" t="s">
        <v>23</v>
      </c>
      <c r="F160" s="138" t="s">
        <v>49</v>
      </c>
      <c r="G160" s="148">
        <v>103083.5</v>
      </c>
      <c r="H160" s="148">
        <v>66160</v>
      </c>
      <c r="I160" s="149">
        <v>0</v>
      </c>
      <c r="J160" s="148">
        <v>8150</v>
      </c>
      <c r="K160" s="148">
        <v>2364</v>
      </c>
      <c r="L160" s="148">
        <v>1750</v>
      </c>
      <c r="M160" s="148">
        <v>2458</v>
      </c>
      <c r="N160" s="148">
        <v>6880</v>
      </c>
      <c r="O160" s="148">
        <v>4000</v>
      </c>
      <c r="P160" s="148">
        <v>1250</v>
      </c>
      <c r="Q160" s="148">
        <v>2167</v>
      </c>
      <c r="R160" s="148">
        <v>2540</v>
      </c>
      <c r="S160" s="148">
        <v>600</v>
      </c>
      <c r="T160" s="153"/>
      <c r="U160" s="16">
        <f t="shared" si="5"/>
        <v>201402.5</v>
      </c>
    </row>
    <row r="161" spans="1:21" s="152" customFormat="1" ht="15" thickBot="1" x14ac:dyDescent="0.4">
      <c r="A161" s="135" t="s">
        <v>20</v>
      </c>
      <c r="B161" s="136">
        <v>46235</v>
      </c>
      <c r="C161" s="137" t="s">
        <v>51</v>
      </c>
      <c r="D161" s="137" t="s">
        <v>78</v>
      </c>
      <c r="E161" s="137" t="s">
        <v>23</v>
      </c>
      <c r="F161" s="138" t="s">
        <v>49</v>
      </c>
      <c r="G161" s="148">
        <v>103083.5</v>
      </c>
      <c r="H161" s="148">
        <v>33080</v>
      </c>
      <c r="I161" s="149">
        <v>0</v>
      </c>
      <c r="J161" s="148">
        <v>8150</v>
      </c>
      <c r="K161" s="148">
        <v>2700</v>
      </c>
      <c r="L161" s="148">
        <v>1700</v>
      </c>
      <c r="M161" s="148">
        <v>2458</v>
      </c>
      <c r="N161" s="148"/>
      <c r="O161" s="148">
        <v>4000</v>
      </c>
      <c r="P161" s="148">
        <v>1250</v>
      </c>
      <c r="Q161" s="148">
        <v>2167</v>
      </c>
      <c r="R161" s="148">
        <v>2540</v>
      </c>
      <c r="S161" s="148"/>
      <c r="T161" s="153"/>
      <c r="U161" s="16">
        <f t="shared" si="5"/>
        <v>161128.5</v>
      </c>
    </row>
    <row r="162" spans="1:21" s="152" customFormat="1" ht="15" thickBot="1" x14ac:dyDescent="0.4">
      <c r="A162" s="135" t="s">
        <v>20</v>
      </c>
      <c r="B162" s="136">
        <v>46235</v>
      </c>
      <c r="C162" s="137" t="s">
        <v>52</v>
      </c>
      <c r="D162" s="137" t="s">
        <v>79</v>
      </c>
      <c r="E162" s="137" t="s">
        <v>23</v>
      </c>
      <c r="F162" s="138" t="s">
        <v>49</v>
      </c>
      <c r="G162" s="137">
        <v>2148156</v>
      </c>
      <c r="H162" s="148">
        <v>233436</v>
      </c>
      <c r="I162" s="149">
        <v>105055</v>
      </c>
      <c r="J162" s="148">
        <v>118575</v>
      </c>
      <c r="K162" s="148">
        <v>55069</v>
      </c>
      <c r="L162" s="148">
        <v>29535</v>
      </c>
      <c r="M162" s="148">
        <v>31605</v>
      </c>
      <c r="N162" s="148">
        <v>19620</v>
      </c>
      <c r="O162" s="148"/>
      <c r="P162" s="148">
        <v>17186</v>
      </c>
      <c r="Q162" s="148"/>
      <c r="R162" s="148">
        <v>8654</v>
      </c>
      <c r="S162" s="148"/>
      <c r="T162" s="153"/>
      <c r="U162" s="16">
        <f t="shared" si="5"/>
        <v>2766891</v>
      </c>
    </row>
    <row r="163" spans="1:21" s="152" customFormat="1" ht="15" thickBot="1" x14ac:dyDescent="0.4">
      <c r="A163" s="135" t="s">
        <v>20</v>
      </c>
      <c r="B163" s="136">
        <v>46235</v>
      </c>
      <c r="C163" s="137" t="s">
        <v>54</v>
      </c>
      <c r="D163" s="137" t="s">
        <v>79</v>
      </c>
      <c r="E163" s="137" t="s">
        <v>23</v>
      </c>
      <c r="F163" s="138" t="s">
        <v>49</v>
      </c>
      <c r="G163" s="137">
        <v>894504</v>
      </c>
      <c r="H163" s="148">
        <v>66696</v>
      </c>
      <c r="I163" s="149"/>
      <c r="J163" s="148">
        <v>53897</v>
      </c>
      <c r="K163" s="148">
        <v>14210</v>
      </c>
      <c r="L163" s="148">
        <v>7865</v>
      </c>
      <c r="M163" s="148">
        <v>0</v>
      </c>
      <c r="N163" s="148"/>
      <c r="O163" s="148"/>
      <c r="P163" s="148"/>
      <c r="Q163" s="148"/>
      <c r="R163" s="148"/>
      <c r="S163" s="148"/>
      <c r="T163" s="153"/>
      <c r="U163" s="16">
        <f t="shared" si="5"/>
        <v>1037172</v>
      </c>
    </row>
    <row r="164" spans="1:21" s="152" customFormat="1" ht="15" thickBot="1" x14ac:dyDescent="0.4">
      <c r="A164" s="135" t="s">
        <v>20</v>
      </c>
      <c r="B164" s="136">
        <v>46235</v>
      </c>
      <c r="C164" s="137" t="s">
        <v>38</v>
      </c>
      <c r="D164" s="137" t="s">
        <v>79</v>
      </c>
      <c r="E164" s="137" t="s">
        <v>23</v>
      </c>
      <c r="F164" s="138" t="s">
        <v>49</v>
      </c>
      <c r="G164" s="137">
        <v>229689</v>
      </c>
      <c r="H164" s="148">
        <v>33356</v>
      </c>
      <c r="I164" s="149">
        <v>13000</v>
      </c>
      <c r="J164" s="148">
        <v>43118</v>
      </c>
      <c r="K164" s="148">
        <v>5200</v>
      </c>
      <c r="L164" s="148">
        <v>3300</v>
      </c>
      <c r="M164" s="148">
        <v>23072</v>
      </c>
      <c r="N164" s="148"/>
      <c r="O164" s="148"/>
      <c r="P164" s="148">
        <v>3287</v>
      </c>
      <c r="Q164" s="148"/>
      <c r="R164" s="148"/>
      <c r="S164" s="148"/>
      <c r="T164" s="153"/>
      <c r="U164" s="16">
        <f t="shared" si="5"/>
        <v>354022</v>
      </c>
    </row>
    <row r="165" spans="1:21" s="152" customFormat="1" ht="15" thickBot="1" x14ac:dyDescent="0.4">
      <c r="A165" s="135" t="s">
        <v>20</v>
      </c>
      <c r="B165" s="136">
        <v>46235</v>
      </c>
      <c r="C165" s="137" t="s">
        <v>55</v>
      </c>
      <c r="D165" s="137" t="s">
        <v>82</v>
      </c>
      <c r="E165" s="137" t="s">
        <v>23</v>
      </c>
      <c r="F165" s="138" t="s">
        <v>49</v>
      </c>
      <c r="G165" s="137">
        <v>35378</v>
      </c>
      <c r="H165" s="148">
        <v>32650</v>
      </c>
      <c r="I165" s="149">
        <v>638164</v>
      </c>
      <c r="J165" s="148">
        <v>28812</v>
      </c>
      <c r="K165" s="148">
        <v>4000</v>
      </c>
      <c r="L165" s="148">
        <v>5800</v>
      </c>
      <c r="M165" s="148">
        <v>2984</v>
      </c>
      <c r="N165" s="148">
        <v>0</v>
      </c>
      <c r="O165" s="148"/>
      <c r="P165" s="148"/>
      <c r="Q165" s="148"/>
      <c r="R165" s="148"/>
      <c r="S165" s="148">
        <v>84000</v>
      </c>
      <c r="T165" s="153" t="s">
        <v>88</v>
      </c>
      <c r="U165" s="16">
        <f t="shared" si="5"/>
        <v>831788</v>
      </c>
    </row>
    <row r="166" spans="1:21" s="152" customFormat="1" ht="15" thickBot="1" x14ac:dyDescent="0.4">
      <c r="A166" s="135" t="s">
        <v>20</v>
      </c>
      <c r="B166" s="136">
        <v>46235</v>
      </c>
      <c r="C166" s="137" t="s">
        <v>33</v>
      </c>
      <c r="D166" s="137" t="s">
        <v>82</v>
      </c>
      <c r="E166" s="137" t="s">
        <v>23</v>
      </c>
      <c r="F166" s="138" t="s">
        <v>49</v>
      </c>
      <c r="G166" s="137">
        <v>4323507</v>
      </c>
      <c r="H166" s="148">
        <v>492235.68</v>
      </c>
      <c r="I166" s="149">
        <v>129700</v>
      </c>
      <c r="J166" s="148">
        <v>115248</v>
      </c>
      <c r="K166" s="148">
        <v>40790</v>
      </c>
      <c r="L166" s="148">
        <v>75800</v>
      </c>
      <c r="M166" s="148">
        <v>11007</v>
      </c>
      <c r="N166" s="148"/>
      <c r="O166" s="148">
        <v>3932</v>
      </c>
      <c r="P166" s="148">
        <v>11600</v>
      </c>
      <c r="Q166" s="148"/>
      <c r="R166" s="148">
        <v>5417</v>
      </c>
      <c r="S166" s="148"/>
      <c r="T166" s="153"/>
      <c r="U166" s="16">
        <f t="shared" si="5"/>
        <v>5209236.68</v>
      </c>
    </row>
    <row r="167" spans="1:21" s="152" customFormat="1" ht="15" thickBot="1" x14ac:dyDescent="0.4">
      <c r="A167" s="135" t="s">
        <v>20</v>
      </c>
      <c r="B167" s="136">
        <v>46235</v>
      </c>
      <c r="C167" s="137" t="s">
        <v>33</v>
      </c>
      <c r="D167" s="137" t="s">
        <v>57</v>
      </c>
      <c r="E167" s="137" t="s">
        <v>32</v>
      </c>
      <c r="F167" s="138" t="s">
        <v>49</v>
      </c>
      <c r="G167" s="137">
        <v>3585517</v>
      </c>
      <c r="H167" s="148">
        <v>364118.81</v>
      </c>
      <c r="I167" s="149">
        <v>8645</v>
      </c>
      <c r="J167" s="148">
        <v>72246</v>
      </c>
      <c r="K167" s="148">
        <f>26094+30408</f>
        <v>56502</v>
      </c>
      <c r="L167" s="148">
        <v>26838</v>
      </c>
      <c r="M167" s="148">
        <v>33056</v>
      </c>
      <c r="N167" s="148"/>
      <c r="O167" s="148"/>
      <c r="P167" s="148">
        <v>6764</v>
      </c>
      <c r="Q167" s="148"/>
      <c r="R167" s="148">
        <v>3442</v>
      </c>
      <c r="S167" s="150"/>
      <c r="T167" s="153"/>
      <c r="U167" s="16">
        <f t="shared" si="5"/>
        <v>4157128.81</v>
      </c>
    </row>
    <row r="168" spans="1:21" s="152" customFormat="1" ht="15" thickBot="1" x14ac:dyDescent="0.4">
      <c r="A168" s="135" t="s">
        <v>20</v>
      </c>
      <c r="B168" s="136">
        <v>46235</v>
      </c>
      <c r="C168" s="137" t="s">
        <v>33</v>
      </c>
      <c r="D168" s="137" t="s">
        <v>58</v>
      </c>
      <c r="E168" s="137" t="s">
        <v>23</v>
      </c>
      <c r="F168" s="137" t="s">
        <v>49</v>
      </c>
      <c r="G168" s="137">
        <v>4440807</v>
      </c>
      <c r="H168" s="148">
        <v>664880.9</v>
      </c>
      <c r="I168" s="148">
        <v>756608</v>
      </c>
      <c r="J168" s="148"/>
      <c r="K168" s="148">
        <v>41202</v>
      </c>
      <c r="L168" s="148">
        <v>17100</v>
      </c>
      <c r="M168" s="148">
        <v>50500</v>
      </c>
      <c r="N168" s="148">
        <v>13055</v>
      </c>
      <c r="O168" s="148">
        <v>5880</v>
      </c>
      <c r="P168" s="148">
        <v>25200</v>
      </c>
      <c r="Q168" s="148"/>
      <c r="R168" s="148">
        <v>6042</v>
      </c>
      <c r="S168" s="148">
        <v>12780</v>
      </c>
      <c r="T168" s="153" t="s">
        <v>56</v>
      </c>
      <c r="U168" s="16">
        <f t="shared" si="5"/>
        <v>6034054.9000000004</v>
      </c>
    </row>
    <row r="169" spans="1:21" s="152" customFormat="1" ht="15" thickBot="1" x14ac:dyDescent="0.4">
      <c r="A169" s="135" t="s">
        <v>20</v>
      </c>
      <c r="B169" s="136">
        <v>46235</v>
      </c>
      <c r="C169" s="137" t="s">
        <v>59</v>
      </c>
      <c r="D169" s="137" t="s">
        <v>60</v>
      </c>
      <c r="E169" s="137" t="s">
        <v>32</v>
      </c>
      <c r="F169" s="137" t="s">
        <v>61</v>
      </c>
      <c r="G169" s="148">
        <v>73898.789999999994</v>
      </c>
      <c r="H169" s="148">
        <v>185033.01</v>
      </c>
      <c r="I169" s="148">
        <v>0</v>
      </c>
      <c r="J169" s="154">
        <v>17958</v>
      </c>
      <c r="K169" s="155"/>
      <c r="L169" s="155"/>
      <c r="M169" s="154"/>
      <c r="N169" s="155"/>
      <c r="O169" s="155"/>
      <c r="P169" s="155"/>
      <c r="Q169" s="155"/>
      <c r="R169" s="155"/>
      <c r="S169" s="154"/>
      <c r="T169" s="153"/>
      <c r="U169" s="16">
        <f t="shared" si="5"/>
        <v>276889.8</v>
      </c>
    </row>
    <row r="170" spans="1:21" s="152" customFormat="1" ht="15" thickBot="1" x14ac:dyDescent="0.4">
      <c r="A170" s="135" t="s">
        <v>20</v>
      </c>
      <c r="B170" s="136">
        <v>46235</v>
      </c>
      <c r="C170" s="137" t="s">
        <v>63</v>
      </c>
      <c r="D170" s="137" t="s">
        <v>64</v>
      </c>
      <c r="E170" s="137" t="s">
        <v>23</v>
      </c>
      <c r="F170" s="137" t="s">
        <v>61</v>
      </c>
      <c r="G170" s="148">
        <v>253676.98</v>
      </c>
      <c r="H170" s="148"/>
      <c r="I170" s="148">
        <v>0</v>
      </c>
      <c r="J170" s="148"/>
      <c r="K170" s="155"/>
      <c r="L170" s="155"/>
      <c r="M170" s="148">
        <v>10317</v>
      </c>
      <c r="N170" s="155"/>
      <c r="O170" s="155"/>
      <c r="P170" s="155"/>
      <c r="Q170" s="155"/>
      <c r="R170" s="155"/>
      <c r="S170" s="155"/>
      <c r="T170" s="153"/>
      <c r="U170" s="16">
        <f t="shared" si="5"/>
        <v>263993.98</v>
      </c>
    </row>
    <row r="171" spans="1:21" s="152" customFormat="1" ht="15" thickBot="1" x14ac:dyDescent="0.4">
      <c r="A171" s="135" t="s">
        <v>20</v>
      </c>
      <c r="B171" s="136">
        <v>46235</v>
      </c>
      <c r="C171" s="137" t="s">
        <v>65</v>
      </c>
      <c r="D171" s="137" t="s">
        <v>64</v>
      </c>
      <c r="E171" s="137" t="s">
        <v>23</v>
      </c>
      <c r="F171" s="137" t="s">
        <v>61</v>
      </c>
      <c r="G171" s="148">
        <v>0</v>
      </c>
      <c r="H171" s="148"/>
      <c r="I171" s="148">
        <v>0</v>
      </c>
      <c r="J171" s="148"/>
      <c r="K171" s="148">
        <v>0</v>
      </c>
      <c r="L171" s="148">
        <v>0</v>
      </c>
      <c r="M171" s="148">
        <f>10317+11750</f>
        <v>22067</v>
      </c>
      <c r="N171" s="148">
        <v>0</v>
      </c>
      <c r="O171" s="148">
        <v>0</v>
      </c>
      <c r="P171" s="148">
        <v>0</v>
      </c>
      <c r="Q171" s="148">
        <v>0</v>
      </c>
      <c r="R171" s="148">
        <v>0</v>
      </c>
      <c r="S171" s="148">
        <v>0</v>
      </c>
      <c r="T171" s="153"/>
      <c r="U171" s="16">
        <f t="shared" si="5"/>
        <v>22067</v>
      </c>
    </row>
    <row r="172" spans="1:21" s="152" customFormat="1" ht="15" thickBot="1" x14ac:dyDescent="0.4">
      <c r="A172" s="135" t="s">
        <v>20</v>
      </c>
      <c r="B172" s="136">
        <v>46235</v>
      </c>
      <c r="C172" s="137" t="s">
        <v>81</v>
      </c>
      <c r="D172" s="137" t="s">
        <v>64</v>
      </c>
      <c r="E172" s="137" t="s">
        <v>23</v>
      </c>
      <c r="F172" s="137" t="s">
        <v>61</v>
      </c>
      <c r="G172" s="148">
        <v>233715.09</v>
      </c>
      <c r="H172" s="148">
        <v>47564</v>
      </c>
      <c r="I172" s="148">
        <v>0</v>
      </c>
      <c r="J172" s="148"/>
      <c r="K172" s="155"/>
      <c r="L172" s="155"/>
      <c r="M172" s="148">
        <v>10317</v>
      </c>
      <c r="N172" s="155"/>
      <c r="O172" s="155"/>
      <c r="P172" s="155"/>
      <c r="Q172" s="155"/>
      <c r="R172" s="155"/>
      <c r="S172" s="155"/>
      <c r="T172" s="153"/>
      <c r="U172" s="16">
        <f t="shared" si="5"/>
        <v>291596.08999999997</v>
      </c>
    </row>
    <row r="173" spans="1:21" s="152" customFormat="1" ht="15" thickBot="1" x14ac:dyDescent="0.4">
      <c r="A173" s="135" t="s">
        <v>20</v>
      </c>
      <c r="B173" s="136">
        <v>46235</v>
      </c>
      <c r="C173" s="137" t="s">
        <v>38</v>
      </c>
      <c r="D173" s="137" t="s">
        <v>64</v>
      </c>
      <c r="E173" s="137" t="s">
        <v>23</v>
      </c>
      <c r="F173" s="137" t="s">
        <v>61</v>
      </c>
      <c r="G173" s="148">
        <v>152306.04</v>
      </c>
      <c r="H173" s="148"/>
      <c r="I173" s="148">
        <v>0</v>
      </c>
      <c r="J173" s="148"/>
      <c r="K173" s="155"/>
      <c r="L173" s="155"/>
      <c r="M173" s="148">
        <v>10317</v>
      </c>
      <c r="N173" s="155"/>
      <c r="O173" s="155"/>
      <c r="P173" s="155"/>
      <c r="Q173" s="154"/>
      <c r="R173" s="155"/>
      <c r="S173" s="155"/>
      <c r="T173" s="153"/>
      <c r="U173" s="16">
        <f>SUM(G173:S173)</f>
        <v>162623.04000000001</v>
      </c>
    </row>
    <row r="174" spans="1:21" s="152" customFormat="1" ht="15" thickBot="1" x14ac:dyDescent="0.4">
      <c r="A174" s="135" t="s">
        <v>20</v>
      </c>
      <c r="B174" s="136">
        <v>46235</v>
      </c>
      <c r="C174" s="137" t="s">
        <v>114</v>
      </c>
      <c r="D174" s="137" t="s">
        <v>64</v>
      </c>
      <c r="E174" s="137" t="s">
        <v>23</v>
      </c>
      <c r="F174" s="137" t="s">
        <v>61</v>
      </c>
      <c r="G174" s="148">
        <v>382796</v>
      </c>
      <c r="H174" s="148"/>
      <c r="I174" s="148"/>
      <c r="J174" s="148"/>
      <c r="K174" s="155"/>
      <c r="L174" s="155"/>
      <c r="M174" s="148"/>
      <c r="N174" s="155"/>
      <c r="O174" s="155"/>
      <c r="P174" s="155"/>
      <c r="Q174" s="154"/>
      <c r="R174" s="155"/>
      <c r="S174" s="155"/>
      <c r="T174" s="153"/>
      <c r="U174" s="16">
        <f>SUM(G174:S174)</f>
        <v>382796</v>
      </c>
    </row>
    <row r="175" spans="1:21" s="152" customFormat="1" ht="15" thickBot="1" x14ac:dyDescent="0.4">
      <c r="A175" s="135" t="s">
        <v>20</v>
      </c>
      <c r="B175" s="136">
        <v>46235</v>
      </c>
      <c r="C175" s="137" t="s">
        <v>66</v>
      </c>
      <c r="D175" s="137" t="s">
        <v>67</v>
      </c>
      <c r="E175" s="137" t="s">
        <v>32</v>
      </c>
      <c r="F175" s="137" t="s">
        <v>61</v>
      </c>
      <c r="G175" s="148">
        <v>4543980.3</v>
      </c>
      <c r="H175" s="148">
        <v>467134.44</v>
      </c>
      <c r="I175" s="148">
        <v>0</v>
      </c>
      <c r="J175" s="154">
        <v>178674</v>
      </c>
      <c r="K175" s="155"/>
      <c r="L175" s="154">
        <v>12150</v>
      </c>
      <c r="M175" s="148"/>
      <c r="N175" s="155"/>
      <c r="O175" s="154"/>
      <c r="P175" s="155"/>
      <c r="Q175" s="155"/>
      <c r="R175" s="154"/>
      <c r="S175" s="154"/>
      <c r="T175" s="153"/>
      <c r="U175" s="16">
        <f t="shared" si="5"/>
        <v>5201938.74</v>
      </c>
    </row>
    <row r="176" spans="1:21" s="152" customFormat="1" ht="15" thickBot="1" x14ac:dyDescent="0.4">
      <c r="A176" s="135" t="s">
        <v>20</v>
      </c>
      <c r="B176" s="136">
        <v>46235</v>
      </c>
      <c r="C176" s="137" t="s">
        <v>68</v>
      </c>
      <c r="D176" s="137" t="s">
        <v>69</v>
      </c>
      <c r="E176" s="137" t="s">
        <v>32</v>
      </c>
      <c r="F176" s="137" t="s">
        <v>61</v>
      </c>
      <c r="G176" s="148">
        <v>1021846</v>
      </c>
      <c r="H176" s="148">
        <v>0</v>
      </c>
      <c r="I176" s="148">
        <v>0</v>
      </c>
      <c r="J176" s="155"/>
      <c r="K176" s="155"/>
      <c r="L176" s="155"/>
      <c r="M176" s="155"/>
      <c r="N176" s="155"/>
      <c r="O176" s="155"/>
      <c r="P176" s="138"/>
      <c r="Q176" s="155"/>
      <c r="R176" s="155"/>
      <c r="S176" s="154"/>
      <c r="T176" s="153"/>
      <c r="U176" s="16">
        <f t="shared" si="5"/>
        <v>1021846</v>
      </c>
    </row>
    <row r="177" spans="1:21" s="152" customFormat="1" ht="15" thickBot="1" x14ac:dyDescent="0.4">
      <c r="A177" s="135" t="s">
        <v>20</v>
      </c>
      <c r="B177" s="136">
        <v>46235</v>
      </c>
      <c r="C177" s="137" t="s">
        <v>33</v>
      </c>
      <c r="D177" s="137" t="s">
        <v>100</v>
      </c>
      <c r="E177" s="137" t="s">
        <v>32</v>
      </c>
      <c r="F177" s="137" t="s">
        <v>24</v>
      </c>
      <c r="G177" s="137">
        <v>12972038</v>
      </c>
      <c r="H177" s="156">
        <v>726193.01</v>
      </c>
      <c r="I177" s="156">
        <v>677560</v>
      </c>
      <c r="J177" s="156">
        <v>239145</v>
      </c>
      <c r="K177" s="154">
        <v>57396</v>
      </c>
      <c r="L177" s="154">
        <v>58976</v>
      </c>
      <c r="M177" s="154"/>
      <c r="N177" s="154"/>
      <c r="O177" s="155"/>
      <c r="P177" s="138">
        <f>2200*5</f>
        <v>11000</v>
      </c>
      <c r="Q177" s="157"/>
      <c r="R177" s="158"/>
      <c r="S177" s="158"/>
      <c r="T177" s="153"/>
      <c r="U177" s="16">
        <f t="shared" si="5"/>
        <v>14742308.01</v>
      </c>
    </row>
    <row r="178" spans="1:21" s="152" customFormat="1" ht="15" thickBot="1" x14ac:dyDescent="0.4">
      <c r="A178" s="135" t="s">
        <v>20</v>
      </c>
      <c r="B178" s="136">
        <v>46235</v>
      </c>
      <c r="C178" s="137" t="s">
        <v>33</v>
      </c>
      <c r="D178" s="137" t="s">
        <v>101</v>
      </c>
      <c r="E178" s="137" t="s">
        <v>32</v>
      </c>
      <c r="F178" s="137" t="s">
        <v>24</v>
      </c>
      <c r="G178" s="137">
        <v>3567314</v>
      </c>
      <c r="H178" s="156">
        <v>315831.08</v>
      </c>
      <c r="I178" s="156">
        <v>0</v>
      </c>
      <c r="J178" s="157"/>
      <c r="K178" s="154">
        <f>16590+34890</f>
        <v>51480</v>
      </c>
      <c r="L178" s="154">
        <v>23840</v>
      </c>
      <c r="M178" s="154"/>
      <c r="N178" s="154"/>
      <c r="O178" s="155"/>
      <c r="P178" s="138">
        <f>2200*3</f>
        <v>6600</v>
      </c>
      <c r="Q178" s="157"/>
      <c r="R178" s="156">
        <v>4200</v>
      </c>
      <c r="S178" s="158"/>
      <c r="T178" s="153"/>
      <c r="U178" s="16">
        <f t="shared" si="5"/>
        <v>3969265.08</v>
      </c>
    </row>
    <row r="179" spans="1:21" s="152" customFormat="1" ht="15" thickBot="1" x14ac:dyDescent="0.4">
      <c r="A179" s="135" t="s">
        <v>20</v>
      </c>
      <c r="B179" s="136">
        <v>46235</v>
      </c>
      <c r="C179" s="137" t="s">
        <v>33</v>
      </c>
      <c r="D179" s="137" t="s">
        <v>102</v>
      </c>
      <c r="E179" s="137" t="s">
        <v>32</v>
      </c>
      <c r="F179" s="137" t="s">
        <v>24</v>
      </c>
      <c r="G179" s="137">
        <v>645672</v>
      </c>
      <c r="H179" s="156">
        <v>279318.77</v>
      </c>
      <c r="I179" s="159">
        <v>0</v>
      </c>
      <c r="J179" s="137">
        <v>239145</v>
      </c>
      <c r="K179" s="137">
        <v>41145</v>
      </c>
      <c r="L179" s="137">
        <v>29616</v>
      </c>
      <c r="M179" s="163"/>
      <c r="N179" s="163"/>
      <c r="O179" s="163"/>
      <c r="P179" s="138">
        <f>2200*2</f>
        <v>4400</v>
      </c>
      <c r="Q179" s="161"/>
      <c r="R179" s="159">
        <v>4900</v>
      </c>
      <c r="S179" s="161"/>
      <c r="T179" s="153"/>
      <c r="U179" s="16">
        <f t="shared" si="5"/>
        <v>1244196.77</v>
      </c>
    </row>
    <row r="180" spans="1:21" s="152" customFormat="1" ht="15" thickBot="1" x14ac:dyDescent="0.4">
      <c r="A180" s="135" t="s">
        <v>20</v>
      </c>
      <c r="B180" s="136">
        <v>46235</v>
      </c>
      <c r="C180" s="137" t="s">
        <v>33</v>
      </c>
      <c r="D180" s="137" t="s">
        <v>41</v>
      </c>
      <c r="E180" s="137" t="s">
        <v>32</v>
      </c>
      <c r="F180" s="137" t="s">
        <v>24</v>
      </c>
      <c r="G180" s="137">
        <v>3536060</v>
      </c>
      <c r="H180" s="156">
        <v>276674</v>
      </c>
      <c r="I180" s="159">
        <v>53900</v>
      </c>
      <c r="J180" s="137">
        <v>75831</v>
      </c>
      <c r="K180" s="137">
        <v>78538</v>
      </c>
      <c r="L180" s="137">
        <v>26880</v>
      </c>
      <c r="M180" s="163"/>
      <c r="N180" s="163"/>
      <c r="O180" s="163"/>
      <c r="P180" s="137">
        <v>7500</v>
      </c>
      <c r="Q180" s="163"/>
      <c r="R180" s="137">
        <v>4900</v>
      </c>
      <c r="S180" s="137">
        <v>36433</v>
      </c>
      <c r="T180" s="153" t="s">
        <v>110</v>
      </c>
      <c r="U180" s="16">
        <f t="shared" si="5"/>
        <v>4096716</v>
      </c>
    </row>
    <row r="181" spans="1:21" s="152" customFormat="1" ht="15" thickBot="1" x14ac:dyDescent="0.4">
      <c r="A181" s="135" t="s">
        <v>20</v>
      </c>
      <c r="B181" s="136">
        <v>46235</v>
      </c>
      <c r="C181" s="137" t="s">
        <v>42</v>
      </c>
      <c r="D181" s="137" t="s">
        <v>43</v>
      </c>
      <c r="E181" s="137" t="s">
        <v>32</v>
      </c>
      <c r="F181" s="137" t="s">
        <v>24</v>
      </c>
      <c r="G181" s="137">
        <v>115089</v>
      </c>
      <c r="H181" s="137">
        <v>56967</v>
      </c>
      <c r="I181" s="137">
        <v>0</v>
      </c>
      <c r="J181" s="137"/>
      <c r="K181" s="137">
        <v>10510</v>
      </c>
      <c r="L181" s="137">
        <v>2610</v>
      </c>
      <c r="M181" s="137"/>
      <c r="N181" s="137"/>
      <c r="O181" s="137"/>
      <c r="P181" s="138"/>
      <c r="Q181" s="164"/>
      <c r="R181" s="164"/>
      <c r="S181" s="164"/>
      <c r="T181" s="165"/>
      <c r="U181" s="16">
        <f t="shared" si="5"/>
        <v>185176</v>
      </c>
    </row>
    <row r="182" spans="1:21" s="152" customFormat="1" ht="15" thickBot="1" x14ac:dyDescent="0.4">
      <c r="A182" s="135" t="s">
        <v>20</v>
      </c>
      <c r="B182" s="136">
        <v>46235</v>
      </c>
      <c r="C182" s="137" t="s">
        <v>21</v>
      </c>
      <c r="D182" s="137" t="s">
        <v>22</v>
      </c>
      <c r="E182" s="137" t="s">
        <v>23</v>
      </c>
      <c r="F182" s="138" t="s">
        <v>40</v>
      </c>
      <c r="G182" s="138">
        <v>123787</v>
      </c>
      <c r="H182" s="138">
        <v>95711</v>
      </c>
      <c r="I182" s="138">
        <v>0</v>
      </c>
      <c r="J182" s="149"/>
      <c r="K182" s="138">
        <v>3696</v>
      </c>
      <c r="L182" s="138">
        <v>2640</v>
      </c>
      <c r="M182" s="138">
        <v>28446</v>
      </c>
      <c r="N182" s="138"/>
      <c r="O182" s="138">
        <v>2500</v>
      </c>
      <c r="P182" s="138">
        <v>25084</v>
      </c>
      <c r="Q182" s="138"/>
      <c r="R182" s="138"/>
      <c r="S182" s="138"/>
      <c r="T182" s="138"/>
      <c r="U182" s="16">
        <f t="shared" si="5"/>
        <v>281864</v>
      </c>
    </row>
    <row r="183" spans="1:21" s="152" customFormat="1" ht="15" thickBot="1" x14ac:dyDescent="0.4">
      <c r="A183" s="135" t="s">
        <v>20</v>
      </c>
      <c r="B183" s="136">
        <v>46235</v>
      </c>
      <c r="C183" s="137" t="s">
        <v>26</v>
      </c>
      <c r="D183" s="137" t="s">
        <v>22</v>
      </c>
      <c r="E183" s="137" t="s">
        <v>23</v>
      </c>
      <c r="F183" s="138" t="s">
        <v>40</v>
      </c>
      <c r="G183" s="138">
        <v>576127</v>
      </c>
      <c r="H183" s="149">
        <v>51384.5</v>
      </c>
      <c r="I183" s="138">
        <v>0</v>
      </c>
      <c r="J183" s="149"/>
      <c r="K183" s="138"/>
      <c r="L183" s="138"/>
      <c r="M183" s="138"/>
      <c r="N183" s="138"/>
      <c r="O183" s="138">
        <v>2500</v>
      </c>
      <c r="P183" s="138"/>
      <c r="Q183" s="138"/>
      <c r="R183" s="138"/>
      <c r="S183" s="138"/>
      <c r="T183" s="138"/>
      <c r="U183" s="16">
        <f t="shared" si="5"/>
        <v>630011.5</v>
      </c>
    </row>
    <row r="184" spans="1:21" s="152" customFormat="1" ht="15" thickBot="1" x14ac:dyDescent="0.4">
      <c r="A184" s="135" t="s">
        <v>20</v>
      </c>
      <c r="B184" s="136">
        <v>46235</v>
      </c>
      <c r="C184" s="137" t="s">
        <v>28</v>
      </c>
      <c r="D184" s="137" t="s">
        <v>22</v>
      </c>
      <c r="E184" s="137" t="s">
        <v>23</v>
      </c>
      <c r="F184" s="138" t="s">
        <v>40</v>
      </c>
      <c r="G184" s="138">
        <v>85337</v>
      </c>
      <c r="H184" s="149">
        <v>0</v>
      </c>
      <c r="I184" s="138">
        <v>0</v>
      </c>
      <c r="J184" s="149"/>
      <c r="K184" s="138">
        <v>2502</v>
      </c>
      <c r="L184" s="138"/>
      <c r="M184" s="138"/>
      <c r="N184" s="138"/>
      <c r="O184" s="138">
        <v>2500</v>
      </c>
      <c r="P184" s="138"/>
      <c r="Q184" s="138"/>
      <c r="R184" s="138"/>
      <c r="S184" s="138"/>
      <c r="T184" s="138"/>
      <c r="U184" s="16">
        <f t="shared" si="5"/>
        <v>90339</v>
      </c>
    </row>
    <row r="185" spans="1:21" s="152" customFormat="1" ht="15" thickBot="1" x14ac:dyDescent="0.4">
      <c r="A185" s="135" t="s">
        <v>20</v>
      </c>
      <c r="B185" s="136">
        <v>46235</v>
      </c>
      <c r="C185" s="137" t="s">
        <v>29</v>
      </c>
      <c r="D185" s="137" t="s">
        <v>22</v>
      </c>
      <c r="E185" s="137" t="s">
        <v>23</v>
      </c>
      <c r="F185" s="138" t="s">
        <v>40</v>
      </c>
      <c r="G185" s="138">
        <v>41181</v>
      </c>
      <c r="H185" s="149">
        <v>51384.5</v>
      </c>
      <c r="I185" s="138">
        <v>0</v>
      </c>
      <c r="J185" s="149"/>
      <c r="K185" s="138">
        <v>3452</v>
      </c>
      <c r="L185" s="138">
        <v>3360</v>
      </c>
      <c r="M185" s="138"/>
      <c r="N185" s="138"/>
      <c r="O185" s="138">
        <v>2500</v>
      </c>
      <c r="P185" s="138">
        <v>4000</v>
      </c>
      <c r="Q185" s="138"/>
      <c r="R185" s="138"/>
      <c r="S185" s="138"/>
      <c r="T185" s="138"/>
      <c r="U185" s="16">
        <f t="shared" si="5"/>
        <v>105877.5</v>
      </c>
    </row>
    <row r="186" spans="1:21" s="152" customFormat="1" ht="15" thickBot="1" x14ac:dyDescent="0.4">
      <c r="A186" s="135" t="s">
        <v>20</v>
      </c>
      <c r="B186" s="136">
        <v>46235</v>
      </c>
      <c r="C186" s="137" t="s">
        <v>105</v>
      </c>
      <c r="D186" s="137" t="s">
        <v>106</v>
      </c>
      <c r="E186" s="137" t="s">
        <v>23</v>
      </c>
      <c r="F186" s="138" t="s">
        <v>40</v>
      </c>
      <c r="G186" s="138">
        <v>1875382</v>
      </c>
      <c r="H186" s="149"/>
      <c r="I186" s="138">
        <v>0</v>
      </c>
      <c r="J186" s="149"/>
      <c r="K186" s="138">
        <v>21212</v>
      </c>
      <c r="L186" s="138"/>
      <c r="M186" s="138">
        <f>29309+9096+3680+17120</f>
        <v>59205</v>
      </c>
      <c r="N186" s="138"/>
      <c r="O186" s="138"/>
      <c r="P186" s="138">
        <v>9500</v>
      </c>
      <c r="Q186" s="138">
        <v>10000</v>
      </c>
      <c r="R186" s="138"/>
      <c r="S186" s="138"/>
      <c r="T186" s="138"/>
      <c r="U186" s="16">
        <f t="shared" si="5"/>
        <v>1975299</v>
      </c>
    </row>
    <row r="187" spans="1:21" s="152" customFormat="1" ht="15" thickBot="1" x14ac:dyDescent="0.4">
      <c r="A187" s="135" t="s">
        <v>20</v>
      </c>
      <c r="B187" s="136">
        <v>46235</v>
      </c>
      <c r="C187" s="137" t="s">
        <v>33</v>
      </c>
      <c r="D187" s="137" t="s">
        <v>34</v>
      </c>
      <c r="E187" s="137" t="s">
        <v>32</v>
      </c>
      <c r="F187" s="138" t="s">
        <v>40</v>
      </c>
      <c r="G187" s="149">
        <v>4751932</v>
      </c>
      <c r="H187" s="138">
        <v>447821</v>
      </c>
      <c r="I187" s="138">
        <v>0</v>
      </c>
      <c r="J187" s="138">
        <v>79801</v>
      </c>
      <c r="K187" s="138">
        <v>38293</v>
      </c>
      <c r="L187" s="138">
        <v>19980</v>
      </c>
      <c r="M187" s="138">
        <f>12550+7502+2800</f>
        <v>22852</v>
      </c>
      <c r="N187" s="138"/>
      <c r="O187" s="138">
        <v>15000</v>
      </c>
      <c r="P187" s="138"/>
      <c r="Q187" s="138"/>
      <c r="R187" s="138">
        <v>4200</v>
      </c>
      <c r="S187" s="138"/>
      <c r="T187" s="138"/>
      <c r="U187" s="16">
        <f t="shared" si="5"/>
        <v>5379879</v>
      </c>
    </row>
    <row r="188" spans="1:21" s="152" customFormat="1" ht="15" thickBot="1" x14ac:dyDescent="0.4">
      <c r="A188" s="135" t="s">
        <v>20</v>
      </c>
      <c r="B188" s="136">
        <v>46235</v>
      </c>
      <c r="C188" s="137" t="s">
        <v>87</v>
      </c>
      <c r="D188" s="137" t="s">
        <v>36</v>
      </c>
      <c r="E188" s="137" t="s">
        <v>23</v>
      </c>
      <c r="F188" s="137" t="s">
        <v>40</v>
      </c>
      <c r="G188" s="159">
        <v>169481</v>
      </c>
      <c r="H188" s="137">
        <f>106128/3</f>
        <v>35376</v>
      </c>
      <c r="I188" s="137">
        <v>23400</v>
      </c>
      <c r="J188" s="148">
        <v>16426</v>
      </c>
      <c r="K188" s="137">
        <v>1560</v>
      </c>
      <c r="L188" s="137"/>
      <c r="M188" s="148">
        <f>41111/2</f>
        <v>20555.5</v>
      </c>
      <c r="N188" s="137"/>
      <c r="O188" s="137">
        <v>1750</v>
      </c>
      <c r="P188" s="137"/>
      <c r="Q188" s="148">
        <v>1000</v>
      </c>
      <c r="R188" s="156">
        <f>5313/4</f>
        <v>1328.25</v>
      </c>
      <c r="S188" s="159">
        <v>0</v>
      </c>
      <c r="T188" s="162"/>
      <c r="U188" s="16">
        <f t="shared" si="5"/>
        <v>270876.75</v>
      </c>
    </row>
    <row r="189" spans="1:21" s="152" customFormat="1" ht="15" thickBot="1" x14ac:dyDescent="0.4">
      <c r="A189" s="135" t="s">
        <v>20</v>
      </c>
      <c r="B189" s="136">
        <v>46235</v>
      </c>
      <c r="C189" s="137" t="s">
        <v>38</v>
      </c>
      <c r="D189" s="137" t="s">
        <v>36</v>
      </c>
      <c r="E189" s="137" t="s">
        <v>23</v>
      </c>
      <c r="F189" s="137" t="s">
        <v>40</v>
      </c>
      <c r="G189" s="137">
        <v>183360</v>
      </c>
      <c r="H189" s="137">
        <f>106128/3</f>
        <v>35376</v>
      </c>
      <c r="I189" s="137">
        <v>4500</v>
      </c>
      <c r="J189" s="148">
        <v>16426</v>
      </c>
      <c r="K189" s="137">
        <v>5624</v>
      </c>
      <c r="L189" s="137">
        <v>4410</v>
      </c>
      <c r="M189" s="148">
        <v>46258.5</v>
      </c>
      <c r="N189" s="137"/>
      <c r="O189" s="137">
        <v>1750</v>
      </c>
      <c r="P189" s="137">
        <v>3068</v>
      </c>
      <c r="Q189" s="148">
        <v>1000</v>
      </c>
      <c r="R189" s="156">
        <f>5313/4</f>
        <v>1328.25</v>
      </c>
      <c r="S189" s="137">
        <v>0</v>
      </c>
      <c r="T189" s="160"/>
      <c r="U189" s="16">
        <f t="shared" si="5"/>
        <v>303100.75</v>
      </c>
    </row>
    <row r="190" spans="1:21" s="152" customFormat="1" ht="15" thickBot="1" x14ac:dyDescent="0.4">
      <c r="A190" s="135" t="s">
        <v>20</v>
      </c>
      <c r="B190" s="136">
        <v>46235</v>
      </c>
      <c r="C190" s="137" t="s">
        <v>39</v>
      </c>
      <c r="D190" s="137" t="s">
        <v>36</v>
      </c>
      <c r="E190" s="137" t="s">
        <v>23</v>
      </c>
      <c r="F190" s="137" t="s">
        <v>40</v>
      </c>
      <c r="G190" s="137">
        <v>8470</v>
      </c>
      <c r="H190" s="137">
        <f>106128/3</f>
        <v>35376</v>
      </c>
      <c r="I190" s="137">
        <v>25200</v>
      </c>
      <c r="J190" s="148">
        <v>16426</v>
      </c>
      <c r="K190" s="137">
        <v>1336</v>
      </c>
      <c r="L190" s="137"/>
      <c r="M190" s="148">
        <v>2029</v>
      </c>
      <c r="N190" s="137"/>
      <c r="O190" s="137">
        <v>1750</v>
      </c>
      <c r="P190" s="137"/>
      <c r="Q190" s="148">
        <v>1000</v>
      </c>
      <c r="R190" s="156">
        <f>5313/4</f>
        <v>1328.25</v>
      </c>
      <c r="S190" s="164"/>
      <c r="T190" s="165"/>
      <c r="U190" s="16">
        <f t="shared" si="5"/>
        <v>92915.25</v>
      </c>
    </row>
    <row r="191" spans="1:21" s="152" customFormat="1" ht="15" thickBot="1" x14ac:dyDescent="0.4">
      <c r="A191" s="135" t="s">
        <v>20</v>
      </c>
      <c r="B191" s="136">
        <v>46235</v>
      </c>
      <c r="C191" s="137" t="s">
        <v>105</v>
      </c>
      <c r="D191" s="137" t="s">
        <v>36</v>
      </c>
      <c r="E191" s="137" t="s">
        <v>23</v>
      </c>
      <c r="F191" s="137" t="s">
        <v>40</v>
      </c>
      <c r="G191" s="137">
        <v>0</v>
      </c>
      <c r="H191" s="137">
        <v>0</v>
      </c>
      <c r="I191" s="137">
        <v>0</v>
      </c>
      <c r="J191" s="148"/>
      <c r="K191" s="137"/>
      <c r="L191" s="137"/>
      <c r="M191" s="137">
        <v>6500</v>
      </c>
      <c r="N191" s="137"/>
      <c r="O191" s="137">
        <v>1750</v>
      </c>
      <c r="P191" s="137"/>
      <c r="Q191" s="148">
        <v>1000</v>
      </c>
      <c r="R191" s="156">
        <f>5313/4</f>
        <v>1328.25</v>
      </c>
      <c r="S191" s="164"/>
      <c r="T191" s="165"/>
      <c r="U191" s="16">
        <f t="shared" si="5"/>
        <v>10578.25</v>
      </c>
    </row>
    <row r="192" spans="1:21" s="152" customFormat="1" ht="15" thickBot="1" x14ac:dyDescent="0.4">
      <c r="A192" s="135" t="s">
        <v>20</v>
      </c>
      <c r="B192" s="136">
        <v>46235</v>
      </c>
      <c r="C192" s="137" t="s">
        <v>73</v>
      </c>
      <c r="D192" s="137" t="s">
        <v>74</v>
      </c>
      <c r="E192" s="137" t="s">
        <v>75</v>
      </c>
      <c r="F192" s="137" t="s">
        <v>40</v>
      </c>
      <c r="G192" s="137">
        <v>483686</v>
      </c>
      <c r="H192" s="137">
        <v>0</v>
      </c>
      <c r="I192" s="137">
        <v>0</v>
      </c>
      <c r="J192" s="137">
        <v>0</v>
      </c>
      <c r="K192" s="137">
        <v>46705</v>
      </c>
      <c r="L192" s="137">
        <v>14058</v>
      </c>
      <c r="M192" s="137">
        <v>0</v>
      </c>
      <c r="N192" s="137">
        <v>0</v>
      </c>
      <c r="O192" s="137">
        <v>0</v>
      </c>
      <c r="P192" s="137">
        <v>0</v>
      </c>
      <c r="Q192" s="137">
        <v>0</v>
      </c>
      <c r="R192" s="137">
        <v>0</v>
      </c>
      <c r="S192" s="137">
        <v>0</v>
      </c>
      <c r="T192" s="160"/>
      <c r="U192" s="16">
        <f t="shared" si="5"/>
        <v>544449</v>
      </c>
    </row>
    <row r="193" spans="1:21" s="152" customFormat="1" ht="15" thickBot="1" x14ac:dyDescent="0.4">
      <c r="A193" s="135" t="s">
        <v>20</v>
      </c>
      <c r="B193" s="136">
        <v>46235</v>
      </c>
      <c r="C193" s="137" t="s">
        <v>29</v>
      </c>
      <c r="D193" s="137" t="s">
        <v>44</v>
      </c>
      <c r="E193" s="137" t="s">
        <v>23</v>
      </c>
      <c r="F193" s="137" t="s">
        <v>45</v>
      </c>
      <c r="G193" s="137">
        <v>31022</v>
      </c>
      <c r="H193" s="148">
        <v>33665.333333333336</v>
      </c>
      <c r="I193" s="137">
        <v>0</v>
      </c>
      <c r="J193" s="148"/>
      <c r="K193" s="137">
        <v>1652</v>
      </c>
      <c r="L193" s="137">
        <v>450</v>
      </c>
      <c r="M193" s="137">
        <v>2200</v>
      </c>
      <c r="N193" s="159">
        <v>1545</v>
      </c>
      <c r="O193" s="137">
        <v>0</v>
      </c>
      <c r="P193" s="159"/>
      <c r="Q193" s="159"/>
      <c r="R193" s="159"/>
      <c r="S193" s="159">
        <v>137763</v>
      </c>
      <c r="T193" s="159" t="s">
        <v>107</v>
      </c>
      <c r="U193" s="16">
        <f t="shared" si="5"/>
        <v>208297.33333333334</v>
      </c>
    </row>
    <row r="194" spans="1:21" s="152" customFormat="1" ht="15" thickBot="1" x14ac:dyDescent="0.4">
      <c r="A194" s="135" t="s">
        <v>20</v>
      </c>
      <c r="B194" s="136">
        <v>46235</v>
      </c>
      <c r="C194" s="137" t="s">
        <v>66</v>
      </c>
      <c r="D194" s="137" t="s">
        <v>44</v>
      </c>
      <c r="E194" s="137" t="s">
        <v>23</v>
      </c>
      <c r="F194" s="138" t="s">
        <v>45</v>
      </c>
      <c r="G194" s="137">
        <v>3557699</v>
      </c>
      <c r="H194" s="137">
        <v>236673</v>
      </c>
      <c r="I194" s="166">
        <v>0</v>
      </c>
      <c r="J194" s="149">
        <v>249959</v>
      </c>
      <c r="K194" s="137">
        <v>70056</v>
      </c>
      <c r="L194" s="167"/>
      <c r="M194" s="167"/>
      <c r="N194" s="167"/>
      <c r="O194" s="159"/>
      <c r="P194" s="137">
        <v>11000</v>
      </c>
      <c r="Q194" s="167"/>
      <c r="R194" s="137">
        <v>10353</v>
      </c>
      <c r="S194" s="137"/>
      <c r="T194" s="168"/>
      <c r="U194" s="16">
        <f t="shared" si="5"/>
        <v>4135740</v>
      </c>
    </row>
    <row r="195" spans="1:21" s="152" customFormat="1" ht="15" thickBot="1" x14ac:dyDescent="0.4">
      <c r="A195" s="135" t="s">
        <v>20</v>
      </c>
      <c r="B195" s="136">
        <v>46235</v>
      </c>
      <c r="C195" s="137" t="s">
        <v>47</v>
      </c>
      <c r="D195" s="137" t="s">
        <v>44</v>
      </c>
      <c r="E195" s="137" t="s">
        <v>23</v>
      </c>
      <c r="F195" s="138" t="s">
        <v>45</v>
      </c>
      <c r="G195" s="137">
        <v>105019</v>
      </c>
      <c r="H195" s="148">
        <v>33665.333333333336</v>
      </c>
      <c r="I195" s="166">
        <v>10620</v>
      </c>
      <c r="J195" s="149">
        <v>17932.5</v>
      </c>
      <c r="K195" s="137">
        <v>2952</v>
      </c>
      <c r="L195" s="137">
        <v>576</v>
      </c>
      <c r="M195" s="137">
        <v>4400</v>
      </c>
      <c r="N195" s="137">
        <v>1200</v>
      </c>
      <c r="O195" s="159">
        <v>7000</v>
      </c>
      <c r="P195" s="137">
        <v>3730</v>
      </c>
      <c r="Q195" s="167"/>
      <c r="R195" s="228"/>
      <c r="S195" s="167"/>
      <c r="T195" s="169"/>
      <c r="U195" s="16">
        <f t="shared" si="5"/>
        <v>187094.83333333334</v>
      </c>
    </row>
    <row r="196" spans="1:21" s="174" customFormat="1" ht="15" thickBot="1" x14ac:dyDescent="0.4">
      <c r="A196" s="139" t="s">
        <v>20</v>
      </c>
      <c r="B196" s="140">
        <v>46235</v>
      </c>
      <c r="C196" s="141" t="s">
        <v>48</v>
      </c>
      <c r="D196" s="141" t="s">
        <v>44</v>
      </c>
      <c r="E196" s="141" t="s">
        <v>23</v>
      </c>
      <c r="F196" s="142" t="s">
        <v>45</v>
      </c>
      <c r="G196" s="141">
        <v>168037</v>
      </c>
      <c r="H196" s="141">
        <v>33665</v>
      </c>
      <c r="I196" s="170">
        <f>105991+850</f>
        <v>106841</v>
      </c>
      <c r="J196" s="171">
        <v>17932.5</v>
      </c>
      <c r="K196" s="141">
        <v>5972</v>
      </c>
      <c r="L196" s="141">
        <v>918</v>
      </c>
      <c r="M196" s="141">
        <v>9385</v>
      </c>
      <c r="N196" s="141">
        <v>7600</v>
      </c>
      <c r="O196" s="179">
        <v>7000</v>
      </c>
      <c r="P196" s="141">
        <v>5007</v>
      </c>
      <c r="Q196" s="172"/>
      <c r="R196" s="172"/>
      <c r="S196" s="172"/>
      <c r="T196" s="173"/>
      <c r="U196" s="16">
        <f t="shared" si="5"/>
        <v>362357.5</v>
      </c>
    </row>
    <row r="197" spans="1:21" s="187" customFormat="1" ht="15" thickBot="1" x14ac:dyDescent="0.4">
      <c r="A197" s="180" t="s">
        <v>20</v>
      </c>
      <c r="B197" s="181">
        <v>46266</v>
      </c>
      <c r="C197" s="182" t="s">
        <v>81</v>
      </c>
      <c r="D197" s="182" t="s">
        <v>80</v>
      </c>
      <c r="E197" s="182" t="s">
        <v>23</v>
      </c>
      <c r="F197" s="182" t="s">
        <v>49</v>
      </c>
      <c r="G197" s="182"/>
      <c r="H197" s="183"/>
      <c r="I197" s="183"/>
      <c r="J197" s="184"/>
      <c r="K197" s="185"/>
      <c r="L197" s="185"/>
      <c r="M197" s="185"/>
      <c r="N197" s="185"/>
      <c r="O197" s="185"/>
      <c r="P197" s="185"/>
      <c r="Q197" s="185"/>
      <c r="R197" s="185"/>
      <c r="S197" s="185"/>
      <c r="T197" s="186"/>
      <c r="U197" s="16">
        <f t="shared" ref="U197:U234" si="6">SUM(G197:S197)</f>
        <v>0</v>
      </c>
    </row>
    <row r="198" spans="1:21" s="195" customFormat="1" ht="15" thickBot="1" x14ac:dyDescent="0.4">
      <c r="A198" s="188" t="s">
        <v>20</v>
      </c>
      <c r="B198" s="181">
        <v>46266</v>
      </c>
      <c r="C198" s="189" t="s">
        <v>83</v>
      </c>
      <c r="D198" s="189" t="s">
        <v>80</v>
      </c>
      <c r="E198" s="189" t="s">
        <v>23</v>
      </c>
      <c r="F198" s="190" t="s">
        <v>49</v>
      </c>
      <c r="G198" s="189">
        <v>154141</v>
      </c>
      <c r="H198" s="191"/>
      <c r="I198" s="192"/>
      <c r="J198" s="191"/>
      <c r="K198" s="191"/>
      <c r="L198" s="191">
        <v>6250</v>
      </c>
      <c r="M198" s="191"/>
      <c r="N198" s="191"/>
      <c r="O198" s="191"/>
      <c r="P198" s="193"/>
      <c r="Q198" s="193"/>
      <c r="R198" s="193"/>
      <c r="S198" s="193"/>
      <c r="T198" s="194"/>
      <c r="U198" s="16">
        <f t="shared" si="6"/>
        <v>160391</v>
      </c>
    </row>
    <row r="199" spans="1:21" s="195" customFormat="1" ht="15" thickBot="1" x14ac:dyDescent="0.4">
      <c r="A199" s="188" t="s">
        <v>20</v>
      </c>
      <c r="B199" s="181">
        <v>46266</v>
      </c>
      <c r="C199" s="189" t="s">
        <v>29</v>
      </c>
      <c r="D199" s="189" t="s">
        <v>78</v>
      </c>
      <c r="E199" s="189" t="s">
        <v>23</v>
      </c>
      <c r="F199" s="190" t="s">
        <v>49</v>
      </c>
      <c r="G199" s="191"/>
      <c r="H199" s="191"/>
      <c r="I199" s="192"/>
      <c r="J199" s="191"/>
      <c r="K199" s="191">
        <v>2485</v>
      </c>
      <c r="L199" s="191">
        <v>2200</v>
      </c>
      <c r="M199" s="191">
        <v>2526</v>
      </c>
      <c r="N199" s="191">
        <v>2000</v>
      </c>
      <c r="O199" s="191">
        <v>4000</v>
      </c>
      <c r="P199" s="191">
        <v>1396</v>
      </c>
      <c r="Q199" s="191">
        <v>2167</v>
      </c>
      <c r="R199" s="191">
        <v>2540</v>
      </c>
      <c r="S199" s="191"/>
      <c r="T199" s="196"/>
      <c r="U199" s="16">
        <f t="shared" si="6"/>
        <v>19314</v>
      </c>
    </row>
    <row r="200" spans="1:21" s="195" customFormat="1" ht="15" thickBot="1" x14ac:dyDescent="0.4">
      <c r="A200" s="188" t="s">
        <v>20</v>
      </c>
      <c r="B200" s="181">
        <v>46266</v>
      </c>
      <c r="C200" s="189" t="s">
        <v>51</v>
      </c>
      <c r="D200" s="189" t="s">
        <v>78</v>
      </c>
      <c r="E200" s="189" t="s">
        <v>23</v>
      </c>
      <c r="F200" s="190" t="s">
        <v>49</v>
      </c>
      <c r="G200" s="191"/>
      <c r="H200" s="191"/>
      <c r="I200" s="192"/>
      <c r="J200" s="191"/>
      <c r="K200" s="191">
        <v>2767</v>
      </c>
      <c r="L200" s="191"/>
      <c r="M200" s="191">
        <v>2526</v>
      </c>
      <c r="N200" s="191">
        <v>2000</v>
      </c>
      <c r="O200" s="191">
        <v>4000</v>
      </c>
      <c r="P200" s="191">
        <v>1396</v>
      </c>
      <c r="Q200" s="191">
        <v>2167</v>
      </c>
      <c r="R200" s="191">
        <v>2540</v>
      </c>
      <c r="S200" s="191"/>
      <c r="T200" s="196"/>
      <c r="U200" s="16">
        <f t="shared" si="6"/>
        <v>17396</v>
      </c>
    </row>
    <row r="201" spans="1:21" s="195" customFormat="1" ht="15" thickBot="1" x14ac:dyDescent="0.4">
      <c r="A201" s="188" t="s">
        <v>20</v>
      </c>
      <c r="B201" s="181">
        <v>46266</v>
      </c>
      <c r="C201" s="189" t="s">
        <v>52</v>
      </c>
      <c r="D201" s="189" t="s">
        <v>79</v>
      </c>
      <c r="E201" s="189" t="s">
        <v>23</v>
      </c>
      <c r="F201" s="190" t="s">
        <v>49</v>
      </c>
      <c r="G201" s="189">
        <v>1007531</v>
      </c>
      <c r="H201" s="191"/>
      <c r="I201" s="192"/>
      <c r="J201" s="191"/>
      <c r="K201" s="191">
        <v>21707</v>
      </c>
      <c r="L201" s="191">
        <v>29857</v>
      </c>
      <c r="M201" s="191">
        <v>51367</v>
      </c>
      <c r="N201" s="191"/>
      <c r="O201" s="191"/>
      <c r="P201" s="191">
        <v>19155</v>
      </c>
      <c r="Q201" s="191"/>
      <c r="R201" s="191">
        <v>8654</v>
      </c>
      <c r="S201" s="191"/>
      <c r="T201" s="196"/>
      <c r="U201" s="16">
        <f t="shared" si="6"/>
        <v>1138271</v>
      </c>
    </row>
    <row r="202" spans="1:21" s="195" customFormat="1" ht="15" thickBot="1" x14ac:dyDescent="0.4">
      <c r="A202" s="188" t="s">
        <v>20</v>
      </c>
      <c r="B202" s="181">
        <v>46266</v>
      </c>
      <c r="C202" s="189" t="s">
        <v>54</v>
      </c>
      <c r="D202" s="189" t="s">
        <v>79</v>
      </c>
      <c r="E202" s="189" t="s">
        <v>23</v>
      </c>
      <c r="F202" s="190" t="s">
        <v>49</v>
      </c>
      <c r="G202" s="189">
        <v>546781</v>
      </c>
      <c r="H202" s="191"/>
      <c r="I202" s="192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6"/>
      <c r="U202" s="16">
        <f t="shared" si="6"/>
        <v>546781</v>
      </c>
    </row>
    <row r="203" spans="1:21" s="195" customFormat="1" ht="15" thickBot="1" x14ac:dyDescent="0.4">
      <c r="A203" s="188" t="s">
        <v>20</v>
      </c>
      <c r="B203" s="181">
        <v>46266</v>
      </c>
      <c r="C203" s="189" t="s">
        <v>38</v>
      </c>
      <c r="D203" s="189" t="s">
        <v>79</v>
      </c>
      <c r="E203" s="189" t="s">
        <v>23</v>
      </c>
      <c r="F203" s="190" t="s">
        <v>49</v>
      </c>
      <c r="G203" s="189">
        <v>64139</v>
      </c>
      <c r="H203" s="191"/>
      <c r="I203" s="192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6"/>
      <c r="U203" s="16">
        <f t="shared" si="6"/>
        <v>64139</v>
      </c>
    </row>
    <row r="204" spans="1:21" s="195" customFormat="1" ht="15" thickBot="1" x14ac:dyDescent="0.4">
      <c r="A204" s="188" t="s">
        <v>20</v>
      </c>
      <c r="B204" s="181">
        <v>46266</v>
      </c>
      <c r="C204" s="189" t="s">
        <v>55</v>
      </c>
      <c r="D204" s="189" t="s">
        <v>82</v>
      </c>
      <c r="E204" s="189" t="s">
        <v>23</v>
      </c>
      <c r="F204" s="190" t="s">
        <v>49</v>
      </c>
      <c r="G204" s="189">
        <v>31158</v>
      </c>
      <c r="H204" s="191"/>
      <c r="I204" s="192"/>
      <c r="J204" s="191"/>
      <c r="K204" s="191">
        <v>5100</v>
      </c>
      <c r="L204" s="191">
        <v>5800</v>
      </c>
      <c r="M204" s="191">
        <v>3670</v>
      </c>
      <c r="N204" s="191">
        <v>0</v>
      </c>
      <c r="O204" s="191"/>
      <c r="P204" s="191">
        <v>2580</v>
      </c>
      <c r="Q204" s="191"/>
      <c r="R204" s="191"/>
      <c r="S204" s="191">
        <v>91600</v>
      </c>
      <c r="T204" s="196" t="s">
        <v>88</v>
      </c>
      <c r="U204" s="16">
        <f t="shared" si="6"/>
        <v>139908</v>
      </c>
    </row>
    <row r="205" spans="1:21" s="195" customFormat="1" ht="15" thickBot="1" x14ac:dyDescent="0.4">
      <c r="A205" s="188" t="s">
        <v>20</v>
      </c>
      <c r="B205" s="181">
        <v>46266</v>
      </c>
      <c r="C205" s="189" t="s">
        <v>33</v>
      </c>
      <c r="D205" s="189" t="s">
        <v>82</v>
      </c>
      <c r="E205" s="189" t="s">
        <v>23</v>
      </c>
      <c r="F205" s="190" t="s">
        <v>49</v>
      </c>
      <c r="G205" s="189">
        <v>982265</v>
      </c>
      <c r="H205" s="191"/>
      <c r="I205" s="192"/>
      <c r="J205" s="191"/>
      <c r="K205" s="191">
        <v>45000</v>
      </c>
      <c r="L205" s="191">
        <v>81400</v>
      </c>
      <c r="M205" s="191">
        <v>6409</v>
      </c>
      <c r="N205" s="191"/>
      <c r="O205" s="191"/>
      <c r="P205" s="191">
        <v>11858</v>
      </c>
      <c r="Q205" s="191"/>
      <c r="R205" s="191">
        <v>5417</v>
      </c>
      <c r="S205" s="191"/>
      <c r="T205" s="196"/>
      <c r="U205" s="16">
        <f t="shared" si="6"/>
        <v>1132349</v>
      </c>
    </row>
    <row r="206" spans="1:21" s="195" customFormat="1" ht="15" thickBot="1" x14ac:dyDescent="0.4">
      <c r="A206" s="188" t="s">
        <v>20</v>
      </c>
      <c r="B206" s="181">
        <v>46266</v>
      </c>
      <c r="C206" s="189" t="s">
        <v>33</v>
      </c>
      <c r="D206" s="189" t="s">
        <v>57</v>
      </c>
      <c r="E206" s="189" t="s">
        <v>32</v>
      </c>
      <c r="F206" s="190" t="s">
        <v>49</v>
      </c>
      <c r="G206" s="189">
        <v>1235907</v>
      </c>
      <c r="H206" s="191"/>
      <c r="I206" s="192"/>
      <c r="J206" s="191"/>
      <c r="K206" s="191"/>
      <c r="L206" s="191">
        <v>27450</v>
      </c>
      <c r="M206" s="191">
        <v>42818</v>
      </c>
      <c r="N206" s="191"/>
      <c r="O206" s="191"/>
      <c r="P206" s="191">
        <v>6039</v>
      </c>
      <c r="Q206" s="191"/>
      <c r="R206" s="191">
        <v>3442</v>
      </c>
      <c r="S206" s="193"/>
      <c r="T206" s="194"/>
      <c r="U206" s="16">
        <f t="shared" si="6"/>
        <v>1315656</v>
      </c>
    </row>
    <row r="207" spans="1:21" s="195" customFormat="1" ht="15" thickBot="1" x14ac:dyDescent="0.4">
      <c r="A207" s="188" t="s">
        <v>20</v>
      </c>
      <c r="B207" s="181">
        <v>46266</v>
      </c>
      <c r="C207" s="189" t="s">
        <v>33</v>
      </c>
      <c r="D207" s="189" t="s">
        <v>58</v>
      </c>
      <c r="E207" s="189" t="s">
        <v>23</v>
      </c>
      <c r="F207" s="189" t="s">
        <v>49</v>
      </c>
      <c r="G207" s="189">
        <v>4348261</v>
      </c>
      <c r="H207" s="191"/>
      <c r="I207" s="191"/>
      <c r="J207" s="191"/>
      <c r="K207" s="191">
        <v>45744</v>
      </c>
      <c r="L207" s="191">
        <v>19710</v>
      </c>
      <c r="M207" s="191">
        <v>28893</v>
      </c>
      <c r="N207" s="191"/>
      <c r="O207" s="191"/>
      <c r="P207" s="191">
        <v>25200</v>
      </c>
      <c r="Q207" s="191"/>
      <c r="R207" s="191">
        <v>6042</v>
      </c>
      <c r="S207" s="191"/>
      <c r="T207" s="197"/>
      <c r="U207" s="16">
        <f t="shared" si="6"/>
        <v>4473850</v>
      </c>
    </row>
    <row r="208" spans="1:21" s="195" customFormat="1" ht="15" thickBot="1" x14ac:dyDescent="0.4">
      <c r="A208" s="188" t="s">
        <v>20</v>
      </c>
      <c r="B208" s="181">
        <v>46266</v>
      </c>
      <c r="C208" s="189" t="s">
        <v>59</v>
      </c>
      <c r="D208" s="189" t="s">
        <v>60</v>
      </c>
      <c r="E208" s="189" t="s">
        <v>32</v>
      </c>
      <c r="F208" s="189" t="s">
        <v>61</v>
      </c>
      <c r="G208" s="191">
        <v>71400.679999999993</v>
      </c>
      <c r="H208" s="191"/>
      <c r="I208" s="191"/>
      <c r="J208" s="198"/>
      <c r="K208" s="199"/>
      <c r="L208" s="199"/>
      <c r="M208" s="191"/>
      <c r="N208" s="199"/>
      <c r="O208" s="199"/>
      <c r="P208" s="199"/>
      <c r="Q208" s="199"/>
      <c r="R208" s="199"/>
      <c r="S208" s="198"/>
      <c r="T208" s="200"/>
      <c r="U208" s="16">
        <f t="shared" si="6"/>
        <v>71400.679999999993</v>
      </c>
    </row>
    <row r="209" spans="1:21" s="195" customFormat="1" ht="15" thickBot="1" x14ac:dyDescent="0.4">
      <c r="A209" s="188" t="s">
        <v>20</v>
      </c>
      <c r="B209" s="181">
        <v>46266</v>
      </c>
      <c r="C209" s="189" t="s">
        <v>63</v>
      </c>
      <c r="D209" s="189" t="s">
        <v>64</v>
      </c>
      <c r="E209" s="189" t="s">
        <v>23</v>
      </c>
      <c r="F209" s="189" t="s">
        <v>61</v>
      </c>
      <c r="G209" s="191">
        <v>481574.46</v>
      </c>
      <c r="H209" s="191"/>
      <c r="I209" s="191"/>
      <c r="J209" s="191"/>
      <c r="K209" s="199"/>
      <c r="L209" s="199"/>
      <c r="M209" s="191">
        <v>6752.5</v>
      </c>
      <c r="N209" s="199"/>
      <c r="O209" s="199"/>
      <c r="P209" s="199"/>
      <c r="Q209" s="199"/>
      <c r="R209" s="199"/>
      <c r="S209" s="199"/>
      <c r="T209" s="201"/>
      <c r="U209" s="16">
        <f t="shared" si="6"/>
        <v>488326.96</v>
      </c>
    </row>
    <row r="210" spans="1:21" s="195" customFormat="1" ht="15" thickBot="1" x14ac:dyDescent="0.4">
      <c r="A210" s="188" t="s">
        <v>20</v>
      </c>
      <c r="B210" s="181">
        <v>46266</v>
      </c>
      <c r="C210" s="189" t="s">
        <v>65</v>
      </c>
      <c r="D210" s="189" t="s">
        <v>64</v>
      </c>
      <c r="E210" s="189" t="s">
        <v>23</v>
      </c>
      <c r="F210" s="189" t="s">
        <v>61</v>
      </c>
      <c r="G210" s="191"/>
      <c r="H210" s="191"/>
      <c r="I210" s="191"/>
      <c r="J210" s="191"/>
      <c r="K210" s="191"/>
      <c r="L210" s="191"/>
      <c r="M210" s="191">
        <v>6752.5</v>
      </c>
      <c r="N210" s="191"/>
      <c r="O210" s="191"/>
      <c r="P210" s="191"/>
      <c r="Q210" s="191"/>
      <c r="R210" s="191"/>
      <c r="S210" s="191"/>
      <c r="T210" s="201"/>
      <c r="U210" s="16">
        <f t="shared" si="6"/>
        <v>6752.5</v>
      </c>
    </row>
    <row r="211" spans="1:21" s="195" customFormat="1" ht="15" thickBot="1" x14ac:dyDescent="0.4">
      <c r="A211" s="188" t="s">
        <v>20</v>
      </c>
      <c r="B211" s="181">
        <v>46266</v>
      </c>
      <c r="C211" s="189" t="s">
        <v>81</v>
      </c>
      <c r="D211" s="189" t="s">
        <v>64</v>
      </c>
      <c r="E211" s="189" t="s">
        <v>23</v>
      </c>
      <c r="F211" s="189" t="s">
        <v>61</v>
      </c>
      <c r="G211" s="191"/>
      <c r="H211" s="191"/>
      <c r="I211" s="191"/>
      <c r="J211" s="191"/>
      <c r="K211" s="199"/>
      <c r="L211" s="199"/>
      <c r="M211" s="191">
        <v>6752.5</v>
      </c>
      <c r="N211" s="199"/>
      <c r="O211" s="199"/>
      <c r="P211" s="199"/>
      <c r="Q211" s="199"/>
      <c r="R211" s="199"/>
      <c r="S211" s="199"/>
      <c r="T211" s="201"/>
      <c r="U211" s="16">
        <f t="shared" si="6"/>
        <v>6752.5</v>
      </c>
    </row>
    <row r="212" spans="1:21" s="195" customFormat="1" ht="15" thickBot="1" x14ac:dyDescent="0.4">
      <c r="A212" s="188" t="s">
        <v>20</v>
      </c>
      <c r="B212" s="181">
        <v>46266</v>
      </c>
      <c r="C212" s="189" t="s">
        <v>38</v>
      </c>
      <c r="D212" s="189" t="s">
        <v>64</v>
      </c>
      <c r="E212" s="189" t="s">
        <v>23</v>
      </c>
      <c r="F212" s="189" t="s">
        <v>61</v>
      </c>
      <c r="G212" s="191"/>
      <c r="H212" s="191"/>
      <c r="I212" s="191"/>
      <c r="J212" s="191"/>
      <c r="K212" s="199"/>
      <c r="L212" s="199"/>
      <c r="M212" s="191">
        <v>6752.5</v>
      </c>
      <c r="N212" s="199"/>
      <c r="O212" s="199"/>
      <c r="P212" s="199"/>
      <c r="Q212" s="198"/>
      <c r="R212" s="199"/>
      <c r="S212" s="199"/>
      <c r="T212" s="201"/>
      <c r="U212" s="16">
        <f t="shared" si="6"/>
        <v>6752.5</v>
      </c>
    </row>
    <row r="213" spans="1:21" s="195" customFormat="1" ht="15" thickBot="1" x14ac:dyDescent="0.4">
      <c r="A213" s="188" t="s">
        <v>20</v>
      </c>
      <c r="B213" s="181">
        <v>46266</v>
      </c>
      <c r="C213" s="189" t="s">
        <v>66</v>
      </c>
      <c r="D213" s="189" t="s">
        <v>67</v>
      </c>
      <c r="E213" s="189" t="s">
        <v>32</v>
      </c>
      <c r="F213" s="189" t="s">
        <v>61</v>
      </c>
      <c r="G213" s="191">
        <v>4453085</v>
      </c>
      <c r="H213" s="191">
        <v>444340.43</v>
      </c>
      <c r="I213" s="191"/>
      <c r="J213" s="198"/>
      <c r="K213" s="199"/>
      <c r="L213" s="198"/>
      <c r="M213" s="198"/>
      <c r="N213" s="199"/>
      <c r="O213" s="198"/>
      <c r="P213" s="199"/>
      <c r="Q213" s="199"/>
      <c r="R213" s="198"/>
      <c r="S213" s="198"/>
      <c r="T213" s="201"/>
      <c r="U213" s="16">
        <f t="shared" si="6"/>
        <v>4897425.43</v>
      </c>
    </row>
    <row r="214" spans="1:21" s="195" customFormat="1" ht="15" thickBot="1" x14ac:dyDescent="0.4">
      <c r="A214" s="188" t="s">
        <v>20</v>
      </c>
      <c r="B214" s="181">
        <v>46266</v>
      </c>
      <c r="C214" s="189" t="s">
        <v>68</v>
      </c>
      <c r="D214" s="189" t="s">
        <v>69</v>
      </c>
      <c r="E214" s="189" t="s">
        <v>32</v>
      </c>
      <c r="F214" s="189" t="s">
        <v>61</v>
      </c>
      <c r="G214" s="191"/>
      <c r="H214" s="191"/>
      <c r="I214" s="191"/>
      <c r="J214" s="199"/>
      <c r="K214" s="199"/>
      <c r="L214" s="199"/>
      <c r="M214" s="199"/>
      <c r="N214" s="199"/>
      <c r="O214" s="199"/>
      <c r="P214" s="199"/>
      <c r="Q214" s="199"/>
      <c r="R214" s="199"/>
      <c r="S214" s="198"/>
      <c r="T214" s="201"/>
      <c r="U214" s="16">
        <f t="shared" si="6"/>
        <v>0</v>
      </c>
    </row>
    <row r="215" spans="1:21" s="195" customFormat="1" ht="15" thickBot="1" x14ac:dyDescent="0.4">
      <c r="A215" s="188" t="s">
        <v>20</v>
      </c>
      <c r="B215" s="181">
        <v>46266</v>
      </c>
      <c r="C215" s="189" t="s">
        <v>33</v>
      </c>
      <c r="D215" s="189" t="s">
        <v>100</v>
      </c>
      <c r="E215" s="189" t="s">
        <v>32</v>
      </c>
      <c r="F215" s="189" t="s">
        <v>24</v>
      </c>
      <c r="G215" s="189">
        <v>5939673</v>
      </c>
      <c r="H215" s="202"/>
      <c r="I215" s="202">
        <v>75133</v>
      </c>
      <c r="J215" s="202"/>
      <c r="K215" s="198">
        <v>75740</v>
      </c>
      <c r="L215" s="198">
        <v>53152</v>
      </c>
      <c r="M215" s="198">
        <v>5400</v>
      </c>
      <c r="N215" s="198"/>
      <c r="O215" s="199"/>
      <c r="P215" s="199"/>
      <c r="Q215" s="203"/>
      <c r="R215" s="204"/>
      <c r="S215" s="204"/>
      <c r="T215" s="200"/>
      <c r="U215" s="16">
        <f t="shared" si="6"/>
        <v>6149098</v>
      </c>
    </row>
    <row r="216" spans="1:21" s="195" customFormat="1" ht="15" thickBot="1" x14ac:dyDescent="0.4">
      <c r="A216" s="188" t="s">
        <v>20</v>
      </c>
      <c r="B216" s="181">
        <v>46266</v>
      </c>
      <c r="C216" s="189" t="s">
        <v>33</v>
      </c>
      <c r="D216" s="189" t="s">
        <v>101</v>
      </c>
      <c r="E216" s="189" t="s">
        <v>32</v>
      </c>
      <c r="F216" s="189" t="s">
        <v>24</v>
      </c>
      <c r="G216" s="189">
        <v>1231931</v>
      </c>
      <c r="H216" s="202"/>
      <c r="I216" s="202"/>
      <c r="J216" s="203"/>
      <c r="K216" s="198"/>
      <c r="L216" s="198"/>
      <c r="M216" s="198"/>
      <c r="N216" s="198"/>
      <c r="O216" s="199"/>
      <c r="P216" s="199"/>
      <c r="Q216" s="203"/>
      <c r="R216" s="202">
        <v>4200</v>
      </c>
      <c r="S216" s="204"/>
      <c r="T216" s="200"/>
      <c r="U216" s="16">
        <f t="shared" si="6"/>
        <v>1236131</v>
      </c>
    </row>
    <row r="217" spans="1:21" s="195" customFormat="1" ht="15" thickBot="1" x14ac:dyDescent="0.4">
      <c r="A217" s="188" t="s">
        <v>20</v>
      </c>
      <c r="B217" s="181">
        <v>46266</v>
      </c>
      <c r="C217" s="189" t="s">
        <v>33</v>
      </c>
      <c r="D217" s="189" t="s">
        <v>102</v>
      </c>
      <c r="E217" s="189" t="s">
        <v>32</v>
      </c>
      <c r="F217" s="189" t="s">
        <v>24</v>
      </c>
      <c r="G217" s="189">
        <v>278186</v>
      </c>
      <c r="H217" s="202"/>
      <c r="I217" s="205"/>
      <c r="J217" s="189"/>
      <c r="K217" s="206"/>
      <c r="L217" s="189">
        <v>32976</v>
      </c>
      <c r="M217" s="206"/>
      <c r="N217" s="206"/>
      <c r="O217" s="206"/>
      <c r="P217" s="206"/>
      <c r="Q217" s="207"/>
      <c r="R217" s="205">
        <v>4900</v>
      </c>
      <c r="S217" s="207"/>
      <c r="T217" s="208"/>
      <c r="U217" s="16">
        <f t="shared" si="6"/>
        <v>316062</v>
      </c>
    </row>
    <row r="218" spans="1:21" s="195" customFormat="1" ht="15" thickBot="1" x14ac:dyDescent="0.4">
      <c r="A218" s="188" t="s">
        <v>20</v>
      </c>
      <c r="B218" s="181">
        <v>46266</v>
      </c>
      <c r="C218" s="189" t="s">
        <v>33</v>
      </c>
      <c r="D218" s="189" t="s">
        <v>41</v>
      </c>
      <c r="E218" s="189" t="s">
        <v>32</v>
      </c>
      <c r="F218" s="189" t="s">
        <v>24</v>
      </c>
      <c r="G218" s="189">
        <v>881626</v>
      </c>
      <c r="H218" s="202"/>
      <c r="I218" s="205"/>
      <c r="J218" s="189"/>
      <c r="K218" s="206"/>
      <c r="L218" s="189">
        <v>31223</v>
      </c>
      <c r="M218" s="212"/>
      <c r="N218" s="206"/>
      <c r="O218" s="206"/>
      <c r="P218" s="206"/>
      <c r="Q218" s="206"/>
      <c r="R218" s="189">
        <v>4900</v>
      </c>
      <c r="S218" s="189">
        <v>36733</v>
      </c>
      <c r="T218" s="209" t="s">
        <v>111</v>
      </c>
      <c r="U218" s="16">
        <f t="shared" si="6"/>
        <v>954482</v>
      </c>
    </row>
    <row r="219" spans="1:21" s="195" customFormat="1" ht="15" thickBot="1" x14ac:dyDescent="0.4">
      <c r="A219" s="188" t="s">
        <v>20</v>
      </c>
      <c r="B219" s="181">
        <v>46266</v>
      </c>
      <c r="C219" s="189" t="s">
        <v>42</v>
      </c>
      <c r="D219" s="189" t="s">
        <v>43</v>
      </c>
      <c r="E219" s="189" t="s">
        <v>32</v>
      </c>
      <c r="F219" s="189" t="s">
        <v>24</v>
      </c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210"/>
      <c r="R219" s="210"/>
      <c r="S219" s="210"/>
      <c r="T219" s="211"/>
      <c r="U219" s="16">
        <f t="shared" si="6"/>
        <v>0</v>
      </c>
    </row>
    <row r="220" spans="1:21" s="195" customFormat="1" ht="15" thickBot="1" x14ac:dyDescent="0.4">
      <c r="A220" s="188" t="s">
        <v>20</v>
      </c>
      <c r="B220" s="181">
        <v>46266</v>
      </c>
      <c r="C220" s="189" t="s">
        <v>21</v>
      </c>
      <c r="D220" s="189" t="s">
        <v>22</v>
      </c>
      <c r="E220" s="189" t="s">
        <v>23</v>
      </c>
      <c r="F220" s="190" t="s">
        <v>40</v>
      </c>
      <c r="G220" s="190"/>
      <c r="H220" s="190"/>
      <c r="I220" s="190"/>
      <c r="J220" s="192"/>
      <c r="K220" s="190"/>
      <c r="L220" s="189"/>
      <c r="M220" s="190"/>
      <c r="N220" s="190"/>
      <c r="O220" s="190">
        <v>2500</v>
      </c>
      <c r="P220" s="190"/>
      <c r="Q220" s="190"/>
      <c r="R220" s="190"/>
      <c r="S220" s="190"/>
      <c r="T220" s="190"/>
      <c r="U220" s="16">
        <f t="shared" si="6"/>
        <v>2500</v>
      </c>
    </row>
    <row r="221" spans="1:21" s="195" customFormat="1" ht="15" thickBot="1" x14ac:dyDescent="0.4">
      <c r="A221" s="188" t="s">
        <v>20</v>
      </c>
      <c r="B221" s="181">
        <v>46266</v>
      </c>
      <c r="C221" s="189" t="s">
        <v>26</v>
      </c>
      <c r="D221" s="189" t="s">
        <v>22</v>
      </c>
      <c r="E221" s="189" t="s">
        <v>23</v>
      </c>
      <c r="F221" s="190" t="s">
        <v>40</v>
      </c>
      <c r="G221" s="190"/>
      <c r="H221" s="192"/>
      <c r="I221" s="190"/>
      <c r="J221" s="192"/>
      <c r="K221" s="190"/>
      <c r="L221" s="212"/>
      <c r="M221" s="192">
        <v>15346</v>
      </c>
      <c r="N221" s="190"/>
      <c r="O221" s="190">
        <v>2500</v>
      </c>
      <c r="P221" s="190"/>
      <c r="Q221" s="190"/>
      <c r="R221" s="190"/>
      <c r="S221" s="190">
        <v>45923</v>
      </c>
      <c r="T221" s="213" t="s">
        <v>112</v>
      </c>
      <c r="U221" s="16">
        <f t="shared" si="6"/>
        <v>63769</v>
      </c>
    </row>
    <row r="222" spans="1:21" s="195" customFormat="1" ht="15" thickBot="1" x14ac:dyDescent="0.4">
      <c r="A222" s="188" t="s">
        <v>20</v>
      </c>
      <c r="B222" s="181">
        <v>46266</v>
      </c>
      <c r="C222" s="189" t="s">
        <v>28</v>
      </c>
      <c r="D222" s="189" t="s">
        <v>22</v>
      </c>
      <c r="E222" s="189" t="s">
        <v>23</v>
      </c>
      <c r="F222" s="190" t="s">
        <v>40</v>
      </c>
      <c r="G222" s="190"/>
      <c r="H222" s="192"/>
      <c r="I222" s="190"/>
      <c r="J222" s="192"/>
      <c r="K222" s="190">
        <v>2502</v>
      </c>
      <c r="L222" s="190"/>
      <c r="M222" s="190"/>
      <c r="N222" s="190"/>
      <c r="O222" s="190">
        <v>2500</v>
      </c>
      <c r="P222" s="190"/>
      <c r="Q222" s="190"/>
      <c r="R222" s="190"/>
      <c r="S222" s="190"/>
      <c r="T222" s="190"/>
      <c r="U222" s="16">
        <f t="shared" si="6"/>
        <v>5002</v>
      </c>
    </row>
    <row r="223" spans="1:21" s="195" customFormat="1" ht="15" thickBot="1" x14ac:dyDescent="0.4">
      <c r="A223" s="188" t="s">
        <v>20</v>
      </c>
      <c r="B223" s="181">
        <v>46266</v>
      </c>
      <c r="C223" s="189" t="s">
        <v>29</v>
      </c>
      <c r="D223" s="189" t="s">
        <v>22</v>
      </c>
      <c r="E223" s="189" t="s">
        <v>23</v>
      </c>
      <c r="F223" s="190" t="s">
        <v>40</v>
      </c>
      <c r="G223" s="190"/>
      <c r="H223" s="192"/>
      <c r="I223" s="190"/>
      <c r="J223" s="192"/>
      <c r="K223" s="190"/>
      <c r="L223" s="190"/>
      <c r="M223" s="190"/>
      <c r="N223" s="190"/>
      <c r="O223" s="190">
        <v>2500</v>
      </c>
      <c r="P223" s="190"/>
      <c r="Q223" s="190"/>
      <c r="R223" s="190"/>
      <c r="S223" s="190"/>
      <c r="T223" s="190"/>
      <c r="U223" s="16">
        <f t="shared" si="6"/>
        <v>2500</v>
      </c>
    </row>
    <row r="224" spans="1:21" s="195" customFormat="1" ht="15" thickBot="1" x14ac:dyDescent="0.4">
      <c r="A224" s="188" t="s">
        <v>20</v>
      </c>
      <c r="B224" s="181">
        <v>46266</v>
      </c>
      <c r="C224" s="189" t="s">
        <v>105</v>
      </c>
      <c r="D224" s="189" t="s">
        <v>106</v>
      </c>
      <c r="E224" s="189" t="s">
        <v>23</v>
      </c>
      <c r="F224" s="190" t="s">
        <v>40</v>
      </c>
      <c r="G224" s="190">
        <v>650370</v>
      </c>
      <c r="H224" s="192"/>
      <c r="I224" s="190"/>
      <c r="J224" s="192"/>
      <c r="K224" s="190"/>
      <c r="L224" s="190"/>
      <c r="M224" s="190">
        <v>63633</v>
      </c>
      <c r="N224" s="190"/>
      <c r="O224" s="190"/>
      <c r="P224" s="190"/>
      <c r="Q224" s="190">
        <v>10000</v>
      </c>
      <c r="R224" s="190"/>
      <c r="S224" s="190"/>
      <c r="T224" s="190"/>
      <c r="U224" s="16">
        <f t="shared" si="6"/>
        <v>724003</v>
      </c>
    </row>
    <row r="225" spans="1:21" s="195" customFormat="1" ht="15" thickBot="1" x14ac:dyDescent="0.4">
      <c r="A225" s="188" t="s">
        <v>20</v>
      </c>
      <c r="B225" s="181">
        <v>46266</v>
      </c>
      <c r="C225" s="189" t="s">
        <v>33</v>
      </c>
      <c r="D225" s="189" t="s">
        <v>34</v>
      </c>
      <c r="E225" s="189" t="s">
        <v>32</v>
      </c>
      <c r="F225" s="190" t="s">
        <v>40</v>
      </c>
      <c r="G225" s="192"/>
      <c r="H225" s="190"/>
      <c r="I225" s="190"/>
      <c r="J225" s="190">
        <v>84665</v>
      </c>
      <c r="K225" s="190">
        <v>45204</v>
      </c>
      <c r="L225" s="190">
        <v>19530</v>
      </c>
      <c r="M225" s="190">
        <v>23217</v>
      </c>
      <c r="N225" s="190"/>
      <c r="O225" s="190">
        <v>15000</v>
      </c>
      <c r="P225" s="190"/>
      <c r="Q225" s="190"/>
      <c r="R225" s="190">
        <v>4200</v>
      </c>
      <c r="S225" s="190"/>
      <c r="T225" s="190"/>
      <c r="U225" s="16">
        <f t="shared" si="6"/>
        <v>191816</v>
      </c>
    </row>
    <row r="226" spans="1:21" s="195" customFormat="1" ht="15" thickBot="1" x14ac:dyDescent="0.4">
      <c r="A226" s="188" t="s">
        <v>20</v>
      </c>
      <c r="B226" s="181">
        <v>46266</v>
      </c>
      <c r="C226" s="189" t="s">
        <v>87</v>
      </c>
      <c r="D226" s="189" t="s">
        <v>36</v>
      </c>
      <c r="E226" s="189" t="s">
        <v>23</v>
      </c>
      <c r="F226" s="189" t="s">
        <v>40</v>
      </c>
      <c r="G226" s="205"/>
      <c r="H226" s="189"/>
      <c r="I226" s="189"/>
      <c r="J226" s="191"/>
      <c r="K226" s="189"/>
      <c r="L226" s="189"/>
      <c r="M226" s="189">
        <v>2150</v>
      </c>
      <c r="N226" s="189"/>
      <c r="O226" s="189">
        <v>1750</v>
      </c>
      <c r="P226" s="189"/>
      <c r="Q226" s="191">
        <v>1000</v>
      </c>
      <c r="R226" s="202">
        <f>5313/4</f>
        <v>1328.25</v>
      </c>
      <c r="S226" s="205"/>
      <c r="T226" s="208"/>
      <c r="U226" s="16">
        <f t="shared" si="6"/>
        <v>6228.25</v>
      </c>
    </row>
    <row r="227" spans="1:21" s="195" customFormat="1" ht="15" thickBot="1" x14ac:dyDescent="0.4">
      <c r="A227" s="188" t="s">
        <v>20</v>
      </c>
      <c r="B227" s="181">
        <v>46266</v>
      </c>
      <c r="C227" s="189" t="s">
        <v>38</v>
      </c>
      <c r="D227" s="189" t="s">
        <v>36</v>
      </c>
      <c r="E227" s="189" t="s">
        <v>23</v>
      </c>
      <c r="F227" s="189" t="s">
        <v>40</v>
      </c>
      <c r="G227" s="189"/>
      <c r="H227" s="189"/>
      <c r="I227" s="189"/>
      <c r="J227" s="191"/>
      <c r="K227" s="189">
        <v>5040</v>
      </c>
      <c r="L227" s="189"/>
      <c r="M227" s="189"/>
      <c r="N227" s="189"/>
      <c r="O227" s="189">
        <v>1750</v>
      </c>
      <c r="P227" s="189">
        <v>6184</v>
      </c>
      <c r="Q227" s="191">
        <v>1000</v>
      </c>
      <c r="R227" s="202">
        <f>5313/4</f>
        <v>1328.25</v>
      </c>
      <c r="S227" s="189"/>
      <c r="T227" s="212"/>
      <c r="U227" s="16">
        <f t="shared" si="6"/>
        <v>15302.25</v>
      </c>
    </row>
    <row r="228" spans="1:21" s="195" customFormat="1" ht="15" thickBot="1" x14ac:dyDescent="0.4">
      <c r="A228" s="188" t="s">
        <v>20</v>
      </c>
      <c r="B228" s="181">
        <v>46266</v>
      </c>
      <c r="C228" s="189" t="s">
        <v>39</v>
      </c>
      <c r="D228" s="189" t="s">
        <v>36</v>
      </c>
      <c r="E228" s="189" t="s">
        <v>23</v>
      </c>
      <c r="F228" s="189" t="s">
        <v>40</v>
      </c>
      <c r="G228" s="189"/>
      <c r="H228" s="189"/>
      <c r="I228" s="189"/>
      <c r="J228" s="191"/>
      <c r="K228" s="189">
        <v>1936</v>
      </c>
      <c r="L228" s="189"/>
      <c r="M228" s="189"/>
      <c r="N228" s="189"/>
      <c r="O228" s="189">
        <v>1750</v>
      </c>
      <c r="P228" s="189"/>
      <c r="Q228" s="191">
        <v>1000</v>
      </c>
      <c r="R228" s="202">
        <f>5313/4</f>
        <v>1328.25</v>
      </c>
      <c r="S228" s="210"/>
      <c r="T228" s="211"/>
      <c r="U228" s="16">
        <f t="shared" si="6"/>
        <v>6014.25</v>
      </c>
    </row>
    <row r="229" spans="1:21" s="195" customFormat="1" ht="15" thickBot="1" x14ac:dyDescent="0.4">
      <c r="A229" s="188" t="s">
        <v>20</v>
      </c>
      <c r="B229" s="181">
        <v>46266</v>
      </c>
      <c r="C229" s="189" t="s">
        <v>105</v>
      </c>
      <c r="D229" s="189" t="s">
        <v>36</v>
      </c>
      <c r="E229" s="189" t="s">
        <v>23</v>
      </c>
      <c r="F229" s="189" t="s">
        <v>40</v>
      </c>
      <c r="G229" s="189"/>
      <c r="H229" s="189"/>
      <c r="I229" s="189"/>
      <c r="J229" s="191"/>
      <c r="K229" s="189">
        <v>11312</v>
      </c>
      <c r="L229" s="189"/>
      <c r="M229" s="189">
        <f>9352+22012+6200</f>
        <v>37564</v>
      </c>
      <c r="N229" s="189"/>
      <c r="O229" s="189">
        <v>1750</v>
      </c>
      <c r="P229" s="189"/>
      <c r="Q229" s="191">
        <v>1000</v>
      </c>
      <c r="R229" s="202">
        <f>5313/4</f>
        <v>1328.25</v>
      </c>
      <c r="S229" s="210"/>
      <c r="T229" s="211"/>
      <c r="U229" s="16">
        <f t="shared" si="6"/>
        <v>52954.25</v>
      </c>
    </row>
    <row r="230" spans="1:21" s="195" customFormat="1" ht="15" thickBot="1" x14ac:dyDescent="0.4">
      <c r="A230" s="188" t="s">
        <v>20</v>
      </c>
      <c r="B230" s="181">
        <v>46266</v>
      </c>
      <c r="C230" s="189" t="s">
        <v>73</v>
      </c>
      <c r="D230" s="189" t="s">
        <v>74</v>
      </c>
      <c r="E230" s="189" t="s">
        <v>75</v>
      </c>
      <c r="F230" s="189" t="s">
        <v>40</v>
      </c>
      <c r="G230" s="189">
        <v>396961</v>
      </c>
      <c r="H230" s="189">
        <v>0</v>
      </c>
      <c r="I230" s="189"/>
      <c r="J230" s="189"/>
      <c r="K230" s="189">
        <v>24389</v>
      </c>
      <c r="L230" s="189">
        <v>14238</v>
      </c>
      <c r="M230" s="189"/>
      <c r="N230" s="189"/>
      <c r="O230" s="189"/>
      <c r="P230" s="189"/>
      <c r="Q230" s="189"/>
      <c r="R230" s="189"/>
      <c r="S230" s="189"/>
      <c r="T230" s="212"/>
      <c r="U230" s="16">
        <f t="shared" si="6"/>
        <v>435588</v>
      </c>
    </row>
    <row r="231" spans="1:21" s="195" customFormat="1" ht="15" thickBot="1" x14ac:dyDescent="0.4">
      <c r="A231" s="188" t="s">
        <v>20</v>
      </c>
      <c r="B231" s="181">
        <v>46266</v>
      </c>
      <c r="C231" s="189" t="s">
        <v>29</v>
      </c>
      <c r="D231" s="189" t="s">
        <v>44</v>
      </c>
      <c r="E231" s="189" t="s">
        <v>23</v>
      </c>
      <c r="F231" s="189" t="s">
        <v>45</v>
      </c>
      <c r="G231" s="189"/>
      <c r="H231" s="191"/>
      <c r="I231" s="189"/>
      <c r="J231" s="191"/>
      <c r="K231" s="189">
        <v>1632</v>
      </c>
      <c r="L231" s="189">
        <v>440</v>
      </c>
      <c r="M231" s="189">
        <v>1120</v>
      </c>
      <c r="N231" s="205"/>
      <c r="O231" s="189">
        <v>0</v>
      </c>
      <c r="P231" s="189"/>
      <c r="Q231" s="189"/>
      <c r="R231" s="205"/>
      <c r="S231" s="205"/>
      <c r="T231" s="205"/>
      <c r="U231" s="16">
        <f t="shared" si="6"/>
        <v>3192</v>
      </c>
    </row>
    <row r="232" spans="1:21" s="195" customFormat="1" ht="15" thickBot="1" x14ac:dyDescent="0.4">
      <c r="A232" s="188" t="s">
        <v>20</v>
      </c>
      <c r="B232" s="181">
        <v>46266</v>
      </c>
      <c r="C232" s="189" t="s">
        <v>66</v>
      </c>
      <c r="D232" s="189" t="s">
        <v>44</v>
      </c>
      <c r="E232" s="189" t="s">
        <v>23</v>
      </c>
      <c r="F232" s="190" t="s">
        <v>45</v>
      </c>
      <c r="G232" s="189">
        <v>2438924</v>
      </c>
      <c r="H232" s="189"/>
      <c r="I232" s="214">
        <v>0</v>
      </c>
      <c r="J232" s="192"/>
      <c r="K232" s="189"/>
      <c r="L232" s="215"/>
      <c r="M232" s="215"/>
      <c r="N232" s="215"/>
      <c r="O232" s="205"/>
      <c r="P232" s="189">
        <v>13562</v>
      </c>
      <c r="Q232" s="215"/>
      <c r="R232" s="189">
        <v>9584</v>
      </c>
      <c r="S232" s="189"/>
      <c r="T232" s="216"/>
      <c r="U232" s="16">
        <f t="shared" si="6"/>
        <v>2462070</v>
      </c>
    </row>
    <row r="233" spans="1:21" s="195" customFormat="1" ht="15" thickBot="1" x14ac:dyDescent="0.4">
      <c r="A233" s="188" t="s">
        <v>20</v>
      </c>
      <c r="B233" s="181">
        <v>46266</v>
      </c>
      <c r="C233" s="189" t="s">
        <v>47</v>
      </c>
      <c r="D233" s="189" t="s">
        <v>44</v>
      </c>
      <c r="E233" s="189" t="s">
        <v>23</v>
      </c>
      <c r="F233" s="190" t="s">
        <v>45</v>
      </c>
      <c r="G233" s="189"/>
      <c r="H233" s="191"/>
      <c r="I233" s="214"/>
      <c r="J233" s="192"/>
      <c r="K233" s="189">
        <v>3808</v>
      </c>
      <c r="L233" s="189">
        <v>800</v>
      </c>
      <c r="M233" s="189">
        <v>4400</v>
      </c>
      <c r="N233" s="189"/>
      <c r="O233" s="205">
        <v>7000</v>
      </c>
      <c r="P233" s="189">
        <v>3386</v>
      </c>
      <c r="Q233" s="215"/>
      <c r="R233" s="215"/>
      <c r="S233" s="215"/>
      <c r="T233" s="217"/>
      <c r="U233" s="16">
        <f t="shared" si="6"/>
        <v>19394</v>
      </c>
    </row>
    <row r="234" spans="1:21" s="226" customFormat="1" ht="15" thickBot="1" x14ac:dyDescent="0.4">
      <c r="A234" s="218" t="s">
        <v>20</v>
      </c>
      <c r="B234" s="181">
        <v>46266</v>
      </c>
      <c r="C234" s="219" t="s">
        <v>48</v>
      </c>
      <c r="D234" s="219" t="s">
        <v>44</v>
      </c>
      <c r="E234" s="219" t="s">
        <v>23</v>
      </c>
      <c r="F234" s="220" t="s">
        <v>45</v>
      </c>
      <c r="G234" s="219"/>
      <c r="H234" s="219"/>
      <c r="I234" s="221"/>
      <c r="J234" s="222"/>
      <c r="K234" s="219">
        <v>5308</v>
      </c>
      <c r="L234" s="219">
        <v>1040</v>
      </c>
      <c r="M234" s="219">
        <v>8257</v>
      </c>
      <c r="N234" s="219"/>
      <c r="O234" s="223">
        <v>7000</v>
      </c>
      <c r="P234" s="219">
        <v>4322</v>
      </c>
      <c r="Q234" s="224"/>
      <c r="R234" s="224"/>
      <c r="S234" s="224"/>
      <c r="T234" s="225"/>
      <c r="U234" s="16">
        <f t="shared" si="6"/>
        <v>25927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126FB-3F98-4CA1-B23E-B1D2CAD90884}">
  <sheetPr codeName="Sheet2"/>
  <dimension ref="B3:R19"/>
  <sheetViews>
    <sheetView showGridLines="0" topLeftCell="A2" zoomScale="80" zoomScaleNormal="80" workbookViewId="0">
      <selection activeCell="C24" sqref="C24"/>
    </sheetView>
  </sheetViews>
  <sheetFormatPr defaultRowHeight="14.5" x14ac:dyDescent="0.35"/>
  <cols>
    <col min="2" max="2" width="18.7265625" bestFit="1" customWidth="1"/>
    <col min="3" max="3" width="12.26953125" bestFit="1" customWidth="1"/>
    <col min="4" max="4" width="7.6328125" bestFit="1" customWidth="1"/>
    <col min="5" max="5" width="6.90625" bestFit="1" customWidth="1"/>
    <col min="6" max="6" width="6.36328125" bestFit="1" customWidth="1"/>
    <col min="7" max="7" width="7.36328125" bestFit="1" customWidth="1"/>
    <col min="8" max="8" width="7.26953125" bestFit="1" customWidth="1"/>
    <col min="9" max="9" width="7.1796875" bestFit="1" customWidth="1"/>
    <col min="10" max="10" width="7.453125" bestFit="1" customWidth="1"/>
    <col min="11" max="11" width="7.36328125" bestFit="1" customWidth="1"/>
    <col min="12" max="12" width="8.1796875" bestFit="1" customWidth="1"/>
    <col min="13" max="13" width="7.1796875" bestFit="1" customWidth="1"/>
    <col min="14" max="14" width="7.36328125" bestFit="1" customWidth="1"/>
    <col min="15" max="15" width="9.08984375" bestFit="1" customWidth="1"/>
    <col min="18" max="18" width="17.1796875" customWidth="1"/>
  </cols>
  <sheetData>
    <row r="3" spans="2:18" x14ac:dyDescent="0.35">
      <c r="B3" s="111" t="s">
        <v>91</v>
      </c>
      <c r="C3" s="112">
        <v>46113</v>
      </c>
      <c r="D3" s="112">
        <v>46143</v>
      </c>
      <c r="E3" s="112">
        <v>46174</v>
      </c>
      <c r="F3" s="112">
        <v>46204</v>
      </c>
      <c r="G3" s="112">
        <v>46235</v>
      </c>
      <c r="H3" s="112">
        <v>46266</v>
      </c>
      <c r="I3" s="112">
        <v>46296</v>
      </c>
      <c r="J3" s="112">
        <v>46327</v>
      </c>
      <c r="K3" s="112">
        <v>46357</v>
      </c>
      <c r="L3" s="112">
        <v>46388</v>
      </c>
      <c r="M3" s="112">
        <v>46419</v>
      </c>
      <c r="N3" s="112">
        <v>46447</v>
      </c>
      <c r="O3" s="113" t="s">
        <v>92</v>
      </c>
    </row>
    <row r="4" spans="2:18" x14ac:dyDescent="0.35">
      <c r="B4" s="114" t="s">
        <v>93</v>
      </c>
      <c r="C4" s="115">
        <v>7.2309999999999999</v>
      </c>
      <c r="D4" s="115">
        <v>7.020999999999999</v>
      </c>
      <c r="E4" s="115">
        <v>7.2449999999999992</v>
      </c>
      <c r="F4" s="115">
        <v>7.4899999999999993</v>
      </c>
      <c r="G4" s="115">
        <v>7.4899999999999993</v>
      </c>
      <c r="H4" s="115">
        <v>7.5319999999999991</v>
      </c>
      <c r="I4" s="115">
        <v>7.9239999999999995</v>
      </c>
      <c r="J4" s="115">
        <v>7.8749999999999991</v>
      </c>
      <c r="K4" s="115">
        <v>8.3089999999999993</v>
      </c>
      <c r="L4" s="115">
        <v>8.4769999999999985</v>
      </c>
      <c r="M4" s="115">
        <v>8.5329999999999995</v>
      </c>
      <c r="N4" s="115">
        <v>9.1209999999999987</v>
      </c>
      <c r="O4" s="115">
        <v>80.777999999999992</v>
      </c>
    </row>
    <row r="5" spans="2:18" x14ac:dyDescent="0.35">
      <c r="B5" s="114" t="s">
        <v>94</v>
      </c>
      <c r="C5" s="115">
        <v>3.0989999999999998</v>
      </c>
      <c r="D5" s="115">
        <v>3.0089999999999999</v>
      </c>
      <c r="E5" s="115">
        <v>3.105</v>
      </c>
      <c r="F5" s="115">
        <v>3.2099999999999995</v>
      </c>
      <c r="G5" s="115">
        <v>3.2099999999999995</v>
      </c>
      <c r="H5" s="115">
        <v>3.2279999999999998</v>
      </c>
      <c r="I5" s="115">
        <v>3.3959999999999999</v>
      </c>
      <c r="J5" s="115">
        <v>3.375</v>
      </c>
      <c r="K5" s="115">
        <v>3.5609999999999995</v>
      </c>
      <c r="L5" s="115">
        <v>3.6329999999999996</v>
      </c>
      <c r="M5" s="115">
        <v>3.6569999999999996</v>
      </c>
      <c r="N5" s="115">
        <v>3.9089999999999998</v>
      </c>
      <c r="O5" s="115">
        <v>53.852000000000004</v>
      </c>
    </row>
    <row r="6" spans="2:18" x14ac:dyDescent="0.35">
      <c r="B6" s="114" t="s">
        <v>95</v>
      </c>
      <c r="C6" s="116">
        <v>10.33</v>
      </c>
      <c r="D6" s="116">
        <v>10.029999999999999</v>
      </c>
      <c r="E6" s="116">
        <v>10.35</v>
      </c>
      <c r="F6" s="116">
        <v>10.7</v>
      </c>
      <c r="G6" s="116">
        <v>10.7</v>
      </c>
      <c r="H6" s="116">
        <v>10.759999999999998</v>
      </c>
      <c r="I6" s="116">
        <v>11.32</v>
      </c>
      <c r="J6" s="116">
        <v>11.25</v>
      </c>
      <c r="K6" s="116">
        <v>11.87</v>
      </c>
      <c r="L6" s="116">
        <v>12.109999999999998</v>
      </c>
      <c r="M6" s="116">
        <v>12.19</v>
      </c>
      <c r="N6" s="116">
        <v>13.029999999999998</v>
      </c>
      <c r="O6" s="116">
        <v>134.63</v>
      </c>
    </row>
    <row r="7" spans="2:18" x14ac:dyDescent="0.35">
      <c r="B7" s="114" t="s">
        <v>96</v>
      </c>
      <c r="C7" s="115">
        <f>C6-2.76</f>
        <v>7.57</v>
      </c>
      <c r="D7" s="115">
        <f t="shared" ref="D7:N7" si="0">D6-2.76</f>
        <v>7.27</v>
      </c>
      <c r="E7" s="115">
        <f t="shared" si="0"/>
        <v>7.59</v>
      </c>
      <c r="F7" s="115">
        <f t="shared" si="0"/>
        <v>7.9399999999999995</v>
      </c>
      <c r="G7" s="115">
        <f t="shared" si="0"/>
        <v>7.9399999999999995</v>
      </c>
      <c r="H7" s="115">
        <f t="shared" si="0"/>
        <v>7.9999999999999982</v>
      </c>
      <c r="I7" s="115">
        <f t="shared" si="0"/>
        <v>8.56</v>
      </c>
      <c r="J7" s="115">
        <f t="shared" si="0"/>
        <v>8.49</v>
      </c>
      <c r="K7" s="115">
        <f t="shared" si="0"/>
        <v>9.11</v>
      </c>
      <c r="L7" s="115">
        <f t="shared" si="0"/>
        <v>9.3499999999999979</v>
      </c>
      <c r="M7" s="115">
        <f t="shared" si="0"/>
        <v>9.43</v>
      </c>
      <c r="N7" s="115">
        <f t="shared" si="0"/>
        <v>10.269999999999998</v>
      </c>
      <c r="O7" s="115">
        <f>SUM(C7:N7)</f>
        <v>101.52</v>
      </c>
      <c r="R7" s="129"/>
    </row>
    <row r="8" spans="2:18" x14ac:dyDescent="0.35">
      <c r="B8" s="114" t="s">
        <v>97</v>
      </c>
      <c r="C8" s="115">
        <v>-0.42565550000000002</v>
      </c>
      <c r="D8" s="115">
        <v>-0.4294943</v>
      </c>
      <c r="E8" s="115">
        <v>-0.46440579999999998</v>
      </c>
      <c r="F8" s="115">
        <v>-0.46296690000000001</v>
      </c>
      <c r="G8" s="117">
        <v>-0.4884442</v>
      </c>
      <c r="H8" s="115">
        <v>-0.51880020000000004</v>
      </c>
      <c r="I8" s="115">
        <v>-0.58379990000000004</v>
      </c>
      <c r="J8" s="115">
        <v>-0.59572409999999998</v>
      </c>
      <c r="K8" s="115">
        <v>-0.63135929999999996</v>
      </c>
      <c r="L8" s="115">
        <v>-0.61687329999999996</v>
      </c>
      <c r="M8" s="115">
        <v>-0.61159669999999999</v>
      </c>
      <c r="N8" s="115">
        <v>-0.58753520000000004</v>
      </c>
      <c r="O8" s="115">
        <f>SUM(C8:N8)</f>
        <v>-6.4166553999999998</v>
      </c>
      <c r="R8" s="130"/>
    </row>
    <row r="9" spans="2:18" x14ac:dyDescent="0.35">
      <c r="B9" s="118" t="s">
        <v>98</v>
      </c>
      <c r="C9" s="119">
        <f>C7+C8</f>
        <v>7.1443444999999999</v>
      </c>
      <c r="D9" s="119">
        <f t="shared" ref="D9:O9" si="1">D7+D8</f>
        <v>6.8405056999999996</v>
      </c>
      <c r="E9" s="119">
        <f t="shared" si="1"/>
        <v>7.1255942000000001</v>
      </c>
      <c r="F9" s="119">
        <f t="shared" si="1"/>
        <v>7.4770330999999999</v>
      </c>
      <c r="G9" s="119">
        <f t="shared" si="1"/>
        <v>7.4515557999999995</v>
      </c>
      <c r="H9" s="119">
        <f t="shared" si="1"/>
        <v>7.481199799999998</v>
      </c>
      <c r="I9" s="119">
        <f t="shared" si="1"/>
        <v>7.9762001000000007</v>
      </c>
      <c r="J9" s="119">
        <f t="shared" si="1"/>
        <v>7.8942759000000002</v>
      </c>
      <c r="K9" s="119">
        <f t="shared" si="1"/>
        <v>8.4786406999999997</v>
      </c>
      <c r="L9" s="119">
        <f t="shared" si="1"/>
        <v>8.7331266999999979</v>
      </c>
      <c r="M9" s="119">
        <f t="shared" si="1"/>
        <v>8.8184032999999999</v>
      </c>
      <c r="N9" s="119">
        <f t="shared" si="1"/>
        <v>9.6824647999999982</v>
      </c>
      <c r="O9" s="119">
        <f t="shared" si="1"/>
        <v>95.1033446</v>
      </c>
      <c r="R9" s="131"/>
    </row>
    <row r="10" spans="2:18" x14ac:dyDescent="0.35">
      <c r="B10" s="121" t="s">
        <v>99</v>
      </c>
      <c r="C10" s="120">
        <v>5.73</v>
      </c>
      <c r="D10" s="123">
        <v>5.7</v>
      </c>
      <c r="E10" s="123">
        <v>6.09</v>
      </c>
      <c r="F10" s="120">
        <v>6.14</v>
      </c>
      <c r="G10" s="120">
        <v>6.64</v>
      </c>
      <c r="H10" s="120"/>
      <c r="I10" s="120"/>
      <c r="J10" s="120"/>
      <c r="K10" s="120"/>
      <c r="L10" s="120"/>
      <c r="M10" s="120"/>
      <c r="N10" s="120"/>
      <c r="O10" s="120"/>
      <c r="R10" s="131"/>
    </row>
    <row r="11" spans="2:18" x14ac:dyDescent="0.35">
      <c r="C11" s="122">
        <f>C9-C10</f>
        <v>1.4143444999999994</v>
      </c>
      <c r="D11" s="122">
        <f>D9-D10</f>
        <v>1.1405056999999994</v>
      </c>
      <c r="E11" s="122">
        <f>E9-E10</f>
        <v>1.0355942000000002</v>
      </c>
      <c r="F11" s="122">
        <f>F9-F10</f>
        <v>1.3370331000000002</v>
      </c>
      <c r="G11" s="122">
        <f>G9-G10</f>
        <v>0.81155579999999983</v>
      </c>
      <c r="R11" s="131"/>
    </row>
    <row r="16" spans="2:18" x14ac:dyDescent="0.35">
      <c r="I16" s="127"/>
    </row>
    <row r="17" spans="12:16" x14ac:dyDescent="0.35">
      <c r="P17" s="127"/>
    </row>
    <row r="19" spans="12:16" x14ac:dyDescent="0.35">
      <c r="L19" s="1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2026-27</vt:lpstr>
      <vt:lpstr>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Karishma Das (W&amp;D)</dc:creator>
  <cp:lastModifiedBy>Karishma Das (W&amp;D)</cp:lastModifiedBy>
  <dcterms:created xsi:type="dcterms:W3CDTF">2026-06-23T06:18:53Z</dcterms:created>
  <dcterms:modified xsi:type="dcterms:W3CDTF">2026-10-16T05:54:47Z</dcterms:modified>
</cp:coreProperties>
</file>