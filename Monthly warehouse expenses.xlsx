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rishma.das\Documents\CJ DARCL\Operations\Monthly Opex Expenses\"/>
    </mc:Choice>
  </mc:AlternateContent>
  <xr:revisionPtr revIDLastSave="0" documentId="13_ncr:1_{72DEF68A-18CB-4867-964F-41669CDCF356}" xr6:coauthVersionLast="47" xr6:coauthVersionMax="47" xr10:uidLastSave="{00000000-0000-0000-0000-000000000000}"/>
  <bookViews>
    <workbookView xWindow="-110" yWindow="-110" windowWidth="19420" windowHeight="10300" xr2:uid="{AD753405-8938-40ED-BF9C-A6CE89EB6A85}"/>
  </bookViews>
  <sheets>
    <sheet name="2026-27" sheetId="1" r:id="rId1"/>
    <sheet name="Sheet1" sheetId="2" r:id="rId2"/>
  </sheets>
  <definedNames>
    <definedName name="_xlnm._FilterDatabase" localSheetId="0" hidden="1">'2026-27'!$A$2:$U$163</definedName>
    <definedName name="_xlnm._FilterDatabase" localSheetId="1" hidden="1">Sheet1!$A$1:$J$25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24" i="1" l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M57" i="1" l="1"/>
  <c r="H1" i="1" l="1"/>
  <c r="I1" i="1"/>
  <c r="K1" i="1"/>
  <c r="L1" i="1"/>
  <c r="M1" i="1"/>
  <c r="N1" i="1"/>
  <c r="O1" i="1"/>
  <c r="P1" i="1"/>
  <c r="Q1" i="1"/>
  <c r="R1" i="1"/>
  <c r="S1" i="1"/>
  <c r="J1" i="1" l="1"/>
  <c r="U3" i="1"/>
  <c r="U1" i="1" s="1"/>
  <c r="G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Karishma Das</author>
  </authors>
  <commentList>
    <comment ref="S40" authorId="0" shapeId="0" xr:uid="{93C47FC0-2E7A-4761-A1A6-E6E569A76326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
</t>
        </r>
      </text>
    </comment>
    <comment ref="S81" authorId="0" shapeId="0" xr:uid="{E4E0562C-EAD4-496C-B28A-AC6FC121AAA2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  <comment ref="S102" authorId="0" shapeId="0" xr:uid="{DDDB4899-A99A-45D2-8C82-31984F2DF571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</commentList>
</comments>
</file>

<file path=xl/sharedStrings.xml><?xml version="1.0" encoding="utf-8"?>
<sst xmlns="http://schemas.openxmlformats.org/spreadsheetml/2006/main" count="977" uniqueCount="136">
  <si>
    <t>FY</t>
  </si>
  <si>
    <t>Month</t>
  </si>
  <si>
    <t>Customer</t>
  </si>
  <si>
    <t>Locations</t>
  </si>
  <si>
    <t>WH Type</t>
  </si>
  <si>
    <t>Zone</t>
  </si>
  <si>
    <t>Manpower Outsource</t>
  </si>
  <si>
    <t>Security Outsource</t>
  </si>
  <si>
    <t>VAS MP</t>
  </si>
  <si>
    <t>Electricity</t>
  </si>
  <si>
    <t>Tea</t>
  </si>
  <si>
    <t>Water</t>
  </si>
  <si>
    <t>Printing &amp; Stationery</t>
  </si>
  <si>
    <t>Petty Cash</t>
  </si>
  <si>
    <t>DG</t>
  </si>
  <si>
    <t>Rental Printer</t>
  </si>
  <si>
    <t>Internet expenses</t>
  </si>
  <si>
    <t>Pest Control</t>
  </si>
  <si>
    <t>Other expenses</t>
  </si>
  <si>
    <t>Remarks</t>
  </si>
  <si>
    <t>Total Expenses</t>
  </si>
  <si>
    <t>2026-27</t>
  </si>
  <si>
    <t>ATOMY ENTERPRISE</t>
  </si>
  <si>
    <t>RALIAWAS</t>
  </si>
  <si>
    <t>Multiple</t>
  </si>
  <si>
    <t>NORTH-1</t>
  </si>
  <si>
    <t>Stapping Machine Repair</t>
  </si>
  <si>
    <t>INNSFREE COSMETICS</t>
  </si>
  <si>
    <t>(Earth pit Work)</t>
  </si>
  <si>
    <t>NTN NEI MANUFACTURING</t>
  </si>
  <si>
    <t>CERAGEM INDIA PVT LTD</t>
  </si>
  <si>
    <t>(All AC Repairing)</t>
  </si>
  <si>
    <t>GWALIOR</t>
  </si>
  <si>
    <t>Single</t>
  </si>
  <si>
    <t>MEESHO</t>
  </si>
  <si>
    <t>MUNDKA</t>
  </si>
  <si>
    <t>Washroom Repair</t>
  </si>
  <si>
    <t>Vi-John</t>
  </si>
  <si>
    <t>JAMALPUR</t>
  </si>
  <si>
    <t>CCTV Camera Installation</t>
  </si>
  <si>
    <t>PROVOGUE</t>
  </si>
  <si>
    <t>BIBO</t>
  </si>
  <si>
    <t>DASNA</t>
  </si>
  <si>
    <t>NORTH</t>
  </si>
  <si>
    <t>RAJPURA</t>
  </si>
  <si>
    <t>FDC</t>
  </si>
  <si>
    <t>GHAZIABAD</t>
  </si>
  <si>
    <t>KOLKATA</t>
  </si>
  <si>
    <t>EAST</t>
  </si>
  <si>
    <t>PANTALOONS</t>
  </si>
  <si>
    <t>Standafan cover+MTS Baricading+Safety Net,DG Earthing+Dock Leveller Servicing+Auto scrubber machine</t>
  </si>
  <si>
    <t>FURLENCO</t>
  </si>
  <si>
    <t>SHELL</t>
  </si>
  <si>
    <t>WEST</t>
  </si>
  <si>
    <t>Water Tanker bill</t>
  </si>
  <si>
    <t>HYOSUNG CORPORATION</t>
  </si>
  <si>
    <t>CROCS INDIA/ HEY DUDE</t>
  </si>
  <si>
    <t>Garbage Pickup</t>
  </si>
  <si>
    <t>WESTBURY KOMMERCE</t>
  </si>
  <si>
    <t>RELIANCE AGRI</t>
  </si>
  <si>
    <t>HK</t>
  </si>
  <si>
    <t>SURAT-1</t>
  </si>
  <si>
    <t>SURAT-2</t>
  </si>
  <si>
    <t>GLOVIS INDIA</t>
  </si>
  <si>
    <t>ANANTAPUR</t>
  </si>
  <si>
    <t>SOUTH</t>
  </si>
  <si>
    <t>CALICUT</t>
  </si>
  <si>
    <t>CEPHUS TECHNOLOGIES</t>
  </si>
  <si>
    <t>BANGALORE-1</t>
  </si>
  <si>
    <t>SIEMENS GAMESA RENEWABLE ENERGY</t>
  </si>
  <si>
    <t>RECKITT</t>
  </si>
  <si>
    <t>ABFRL-PANTALOONS</t>
  </si>
  <si>
    <t>BANGALORE-2</t>
  </si>
  <si>
    <t>CEAT</t>
  </si>
  <si>
    <t>CHENNAI</t>
  </si>
  <si>
    <t>HYDERABAD</t>
  </si>
  <si>
    <t>Inverter Repair &amp; DG Recharge</t>
  </si>
  <si>
    <t>Septic Tank Bill</t>
  </si>
  <si>
    <t>MENSA</t>
  </si>
  <si>
    <t>KHAWASPUR</t>
  </si>
  <si>
    <t>Client owned</t>
  </si>
  <si>
    <t>Dinesh Art+Spill Kit Bag+ Electrical Rubber Mat</t>
  </si>
  <si>
    <t>Garbage</t>
  </si>
  <si>
    <t>BHIWANDI-1</t>
  </si>
  <si>
    <t>BHIWANDI-2</t>
  </si>
  <si>
    <t>BHIWANDI-3</t>
  </si>
  <si>
    <t>DISTRIBUTION (PUMA)</t>
  </si>
  <si>
    <t>BHIWANDI-4</t>
  </si>
  <si>
    <t>NOTHING</t>
  </si>
  <si>
    <t>ROYAL ENFIELD</t>
  </si>
  <si>
    <t>Cold Room AC repaired</t>
  </si>
  <si>
    <t>Office AC Gas Testing &amp; Reffling</t>
  </si>
  <si>
    <t>Location</t>
  </si>
  <si>
    <t>North</t>
  </si>
  <si>
    <t>Raliawas</t>
  </si>
  <si>
    <t>Account</t>
  </si>
  <si>
    <t>Atomy</t>
  </si>
  <si>
    <t>Innisfree</t>
  </si>
  <si>
    <t>NTN</t>
  </si>
  <si>
    <t>Ceragem</t>
  </si>
  <si>
    <t>Meesho</t>
  </si>
  <si>
    <t>Mundka</t>
  </si>
  <si>
    <t>Jamalpur</t>
  </si>
  <si>
    <t>North-1</t>
  </si>
  <si>
    <t>Rajpura</t>
  </si>
  <si>
    <t>Dasna (GUS)</t>
  </si>
  <si>
    <t>Dasna (D21S)</t>
  </si>
  <si>
    <t>Dasna (DGS6)</t>
  </si>
  <si>
    <t>Dasna (PCDA)</t>
  </si>
  <si>
    <t>Kolkata</t>
  </si>
  <si>
    <t>East</t>
  </si>
  <si>
    <t>West</t>
  </si>
  <si>
    <t>Bhiwandi</t>
  </si>
  <si>
    <t>Surat-1</t>
  </si>
  <si>
    <t>Surat-2</t>
  </si>
  <si>
    <t>South</t>
  </si>
  <si>
    <t>Day</t>
  </si>
  <si>
    <t>Date</t>
  </si>
  <si>
    <t>Time</t>
  </si>
  <si>
    <t>KAM</t>
  </si>
  <si>
    <t>Shubham</t>
  </si>
  <si>
    <t>Sunita</t>
  </si>
  <si>
    <t>Yashwant</t>
  </si>
  <si>
    <t>Plumbing Work+Electrical Wire+ACAMC+Anti Fatigue Mate+Diesel Metal Can+Fire AMC</t>
  </si>
  <si>
    <t>FE</t>
  </si>
  <si>
    <t>Prashant</t>
  </si>
  <si>
    <t>Rajat</t>
  </si>
  <si>
    <t>Wednesday</t>
  </si>
  <si>
    <t>Thursday</t>
  </si>
  <si>
    <t>Friday</t>
  </si>
  <si>
    <t>Monday</t>
  </si>
  <si>
    <t>Tuesday</t>
  </si>
  <si>
    <t>MEESHO (S13S+SGS3)</t>
  </si>
  <si>
    <t>MEESHO (SCS)</t>
  </si>
  <si>
    <t>DISTRIBUTION</t>
  </si>
  <si>
    <t>Fumigation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</si>
</sst>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9">
    <xf numFmtId="0" fontId="0" fillId="0" borderId="0" xfId="0"/>
    <xf numFmtId="0" fontId="3" fillId="0" borderId="1" xfId="0" applyFont="1" applyBorder="1" applyAlignment="1">
      <alignment horizontal="center" vertical="center"/>
    </xf>
    <xf numFmtId="17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7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6" xfId="0" applyFont="1" applyBorder="1" applyAlignment="1">
      <alignment horizontal="center" vertical="center"/>
    </xf>
    <xf numFmtId="17" fontId="3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" fontId="2" fillId="0" borderId="1" xfId="0" applyNumberFormat="1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1" fontId="2" fillId="0" borderId="7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0" fontId="3" fillId="3" borderId="4" xfId="0" applyFont="1" applyFill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8" fontId="9" fillId="0" borderId="2" xfId="0" applyNumberFormat="1" applyFont="1" applyBorder="1" applyAlignment="1">
      <alignment horizontal="center" vertical="center"/>
    </xf>
    <xf numFmtId="0" fontId="9" fillId="0" borderId="0" xfId="0" applyFont="1"/>
    <xf numFmtId="18" fontId="9" fillId="0" borderId="10" xfId="0" applyNumberFormat="1" applyFont="1" applyBorder="1" applyAlignment="1">
      <alignment horizontal="center" vertical="center"/>
    </xf>
    <xf numFmtId="18" fontId="9" fillId="0" borderId="11" xfId="0" applyNumberFormat="1" applyFont="1" applyBorder="1" applyAlignment="1">
      <alignment horizontal="center" vertical="center"/>
    </xf>
    <xf numFmtId="18" fontId="9" fillId="0" borderId="1" xfId="0" applyNumberFormat="1" applyFont="1" applyBorder="1" applyAlignment="1">
      <alignment horizontal="center"/>
    </xf>
    <xf numFmtId="18" fontId="9" fillId="0" borderId="2" xfId="0" applyNumberFormat="1" applyFont="1" applyBorder="1" applyAlignment="1">
      <alignment horizontal="center"/>
    </xf>
    <xf numFmtId="18" fontId="9" fillId="0" borderId="1" xfId="0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8" fontId="9" fillId="0" borderId="2" xfId="0" applyNumberFormat="1" applyFont="1" applyBorder="1" applyAlignment="1">
      <alignment vertical="center"/>
    </xf>
    <xf numFmtId="18" fontId="9" fillId="0" borderId="1" xfId="0" applyNumberFormat="1" applyFont="1" applyBorder="1" applyAlignment="1">
      <alignment vertical="center"/>
    </xf>
    <xf numFmtId="0" fontId="3" fillId="0" borderId="5" xfId="0" applyFont="1" applyFill="1" applyBorder="1" applyAlignment="1">
      <alignment horizontal="center" vertical="center"/>
    </xf>
    <xf numFmtId="17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164" fontId="5" fillId="0" borderId="0" xfId="1" applyNumberFormat="1" applyFont="1" applyAlignment="1">
      <alignment vertical="center"/>
    </xf>
    <xf numFmtId="0" fontId="3" fillId="0" borderId="3" xfId="0" applyFont="1" applyFill="1" applyBorder="1" applyAlignment="1">
      <alignment horizontal="center" vertical="center"/>
    </xf>
    <xf numFmtId="17" fontId="3" fillId="0" borderId="4" xfId="0" applyNumberFormat="1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0" fontId="4" fillId="0" borderId="0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4" fillId="0" borderId="11" xfId="0" applyFont="1" applyBorder="1" applyAlignment="1">
      <alignment vertical="center"/>
    </xf>
    <xf numFmtId="1" fontId="3" fillId="3" borderId="4" xfId="0" applyNumberFormat="1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1" fontId="2" fillId="0" borderId="15" xfId="0" applyNumberFormat="1" applyFont="1" applyBorder="1" applyAlignment="1">
      <alignment horizontal="center" vertical="center"/>
    </xf>
    <xf numFmtId="1" fontId="2" fillId="0" borderId="16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3" fillId="3" borderId="13" xfId="0" applyFont="1" applyFill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1" fontId="3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/>
    </xf>
    <xf numFmtId="1" fontId="3" fillId="0" borderId="4" xfId="0" applyNumberFormat="1" applyFont="1" applyBorder="1" applyAlignment="1">
      <alignment vertical="center"/>
    </xf>
    <xf numFmtId="1" fontId="3" fillId="0" borderId="17" xfId="0" applyNumberFormat="1" applyFont="1" applyBorder="1" applyAlignment="1">
      <alignment vertical="center"/>
    </xf>
    <xf numFmtId="1" fontId="3" fillId="0" borderId="1" xfId="0" applyNumberFormat="1" applyFont="1" applyBorder="1" applyAlignment="1">
      <alignment vertical="center"/>
    </xf>
    <xf numFmtId="1" fontId="3" fillId="0" borderId="13" xfId="0" applyNumberFormat="1" applyFont="1" applyBorder="1" applyAlignment="1">
      <alignment vertical="center"/>
    </xf>
    <xf numFmtId="1" fontId="11" fillId="0" borderId="1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vertical="center"/>
    </xf>
    <xf numFmtId="1" fontId="11" fillId="0" borderId="1" xfId="0" applyNumberFormat="1" applyFont="1" applyBorder="1" applyAlignment="1">
      <alignment horizontal="center" vertical="center" wrapText="1"/>
    </xf>
    <xf numFmtId="1" fontId="12" fillId="5" borderId="1" xfId="0" applyNumberFormat="1" applyFont="1" applyFill="1" applyBorder="1" applyAlignment="1">
      <alignment horizontal="center" vertical="center"/>
    </xf>
    <xf numFmtId="0" fontId="3" fillId="0" borderId="11" xfId="0" applyFont="1" applyBorder="1" applyAlignment="1">
      <alignment horizontal="left" vertical="center"/>
    </xf>
    <xf numFmtId="0" fontId="3" fillId="0" borderId="1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1" fillId="0" borderId="1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3" fillId="0" borderId="16" xfId="0" applyFont="1" applyBorder="1" applyAlignment="1">
      <alignment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0" xfId="0" applyNumberFormat="1" applyFont="1" applyBorder="1" applyAlignment="1">
      <alignment horizontal="center" vertical="center"/>
    </xf>
    <xf numFmtId="1" fontId="5" fillId="0" borderId="0" xfId="1" applyNumberFormat="1" applyFont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3" fillId="0" borderId="4" xfId="0" applyNumberFormat="1" applyFont="1" applyFill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1" fontId="3" fillId="0" borderId="13" xfId="0" applyNumberFormat="1" applyFont="1" applyBorder="1" applyAlignment="1">
      <alignment horizontal="center" vertical="center"/>
    </xf>
    <xf numFmtId="1" fontId="3" fillId="0" borderId="14" xfId="0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63073-2BD3-48B4-976A-5AF0F87293C3}">
  <dimension ref="A1:U163"/>
  <sheetViews>
    <sheetView showGridLines="0" tabSelected="1" zoomScale="80" zoomScaleNormal="80" workbookViewId="0">
      <selection activeCell="F10" sqref="F10"/>
    </sheetView>
  </sheetViews>
  <sheetFormatPr defaultRowHeight="14.5" x14ac:dyDescent="0.35"/>
  <cols>
    <col min="1" max="1" width="9" style="15" customWidth="1"/>
    <col min="2" max="2" width="9.1796875" style="15" customWidth="1"/>
    <col min="3" max="3" width="28.1796875" style="15" customWidth="1"/>
    <col min="4" max="4" width="11.6328125" style="15" bestFit="1" customWidth="1"/>
    <col min="5" max="5" width="10" style="15" customWidth="1"/>
    <col min="6" max="6" width="18.54296875" style="15" customWidth="1"/>
    <col min="7" max="7" width="16.1796875" style="15" bestFit="1" customWidth="1"/>
    <col min="8" max="8" width="14.1796875" style="15" bestFit="1" customWidth="1"/>
    <col min="9" max="9" width="13.36328125" style="15" bestFit="1" customWidth="1"/>
    <col min="10" max="10" width="13.36328125" style="108" bestFit="1" customWidth="1"/>
    <col min="11" max="11" width="16" style="15" bestFit="1" customWidth="1"/>
    <col min="12" max="12" width="11.7265625" style="15" bestFit="1" customWidth="1"/>
    <col min="13" max="13" width="15.54296875" style="15" bestFit="1" customWidth="1"/>
    <col min="14" max="14" width="11.7265625" style="15" bestFit="1" customWidth="1"/>
    <col min="15" max="15" width="10.6328125" style="15" bestFit="1" customWidth="1"/>
    <col min="16" max="16" width="11.7265625" style="15" bestFit="1" customWidth="1"/>
    <col min="17" max="17" width="13.36328125" style="15" bestFit="1" customWidth="1"/>
    <col min="18" max="19" width="11.7265625" style="15" bestFit="1" customWidth="1"/>
    <col min="20" max="20" width="82" style="15" bestFit="1" customWidth="1"/>
    <col min="21" max="21" width="14.453125" style="15" bestFit="1" customWidth="1"/>
    <col min="22" max="16384" width="8.7265625" style="15"/>
  </cols>
  <sheetData>
    <row r="1" spans="1:21" s="13" customFormat="1" ht="15" thickBot="1" x14ac:dyDescent="0.4">
      <c r="G1" s="53">
        <f>SUBTOTAL(9,G3:G1048576)</f>
        <v>137928816.98000002</v>
      </c>
      <c r="H1" s="14">
        <f>SUBTOTAL(9,H3:H1048576)</f>
        <v>18105675.850000001</v>
      </c>
      <c r="I1" s="14">
        <f>SUBTOTAL(9,I3:I1048576)</f>
        <v>4993322</v>
      </c>
      <c r="J1" s="101">
        <f>SUBTOTAL(9,J3:J1048576)</f>
        <v>4567174.5</v>
      </c>
      <c r="K1" s="14">
        <f>SUBTOTAL(9,K3:K1048576)</f>
        <v>1657898</v>
      </c>
      <c r="L1" s="14">
        <f>SUBTOTAL(9,L3:L1048576)</f>
        <v>971808</v>
      </c>
      <c r="M1" s="14">
        <f>SUBTOTAL(9,M3:M1048576)</f>
        <v>1425087</v>
      </c>
      <c r="N1" s="14">
        <f>SUBTOTAL(9,N3:N1048576)</f>
        <v>365327</v>
      </c>
      <c r="O1" s="14">
        <f>SUBTOTAL(9,O3:O1048576)</f>
        <v>432350</v>
      </c>
      <c r="P1" s="14">
        <f>SUBTOTAL(9,P3:P1048576)</f>
        <v>324552</v>
      </c>
      <c r="Q1" s="14">
        <f>SUBTOTAL(9,Q3:Q1048576)</f>
        <v>143282</v>
      </c>
      <c r="R1" s="14">
        <f>SUBTOTAL(9,R3:R1048576)</f>
        <v>311600</v>
      </c>
      <c r="S1" s="14">
        <f>SUBTOTAL(9,S3:S1048576)</f>
        <v>2879069.15</v>
      </c>
      <c r="T1" s="14"/>
      <c r="U1" s="14">
        <f>SUBTOTAL(9,U3:U1048576)</f>
        <v>174105962.48000002</v>
      </c>
    </row>
    <row r="2" spans="1:21" s="32" customFormat="1" ht="15" thickBot="1" x14ac:dyDescent="0.4">
      <c r="A2" s="22" t="s">
        <v>0</v>
      </c>
      <c r="B2" s="22" t="s">
        <v>1</v>
      </c>
      <c r="C2" s="22" t="s">
        <v>2</v>
      </c>
      <c r="D2" s="22" t="s">
        <v>3</v>
      </c>
      <c r="E2" s="22" t="s">
        <v>4</v>
      </c>
      <c r="F2" s="22" t="s">
        <v>5</v>
      </c>
      <c r="G2" s="23" t="s">
        <v>6</v>
      </c>
      <c r="H2" s="60" t="s">
        <v>7</v>
      </c>
      <c r="I2" s="23" t="s">
        <v>8</v>
      </c>
      <c r="J2" s="102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3" t="s">
        <v>16</v>
      </c>
      <c r="R2" s="23" t="s">
        <v>17</v>
      </c>
      <c r="S2" s="23" t="s">
        <v>18</v>
      </c>
      <c r="T2" s="23" t="s">
        <v>19</v>
      </c>
      <c r="U2" s="24" t="s">
        <v>20</v>
      </c>
    </row>
    <row r="3" spans="1:21" s="26" customFormat="1" x14ac:dyDescent="0.35">
      <c r="A3" s="5" t="s">
        <v>21</v>
      </c>
      <c r="B3" s="6">
        <v>46113</v>
      </c>
      <c r="C3" s="7" t="s">
        <v>22</v>
      </c>
      <c r="D3" s="7" t="s">
        <v>23</v>
      </c>
      <c r="E3" s="7" t="s">
        <v>24</v>
      </c>
      <c r="F3" s="7" t="s">
        <v>43</v>
      </c>
      <c r="G3" s="8">
        <v>125437</v>
      </c>
      <c r="H3" s="8">
        <v>40896.5</v>
      </c>
      <c r="I3" s="8">
        <v>0</v>
      </c>
      <c r="J3" s="8">
        <v>6159</v>
      </c>
      <c r="K3" s="8">
        <v>4676</v>
      </c>
      <c r="L3" s="8">
        <v>2600</v>
      </c>
      <c r="M3" s="8">
        <v>15000</v>
      </c>
      <c r="N3" s="8">
        <v>0</v>
      </c>
      <c r="O3" s="8">
        <v>0</v>
      </c>
      <c r="P3" s="8">
        <v>0</v>
      </c>
      <c r="Q3" s="8">
        <v>3125</v>
      </c>
      <c r="R3" s="8">
        <v>2500</v>
      </c>
      <c r="S3" s="8">
        <v>2000</v>
      </c>
      <c r="T3" s="8" t="s">
        <v>26</v>
      </c>
      <c r="U3" s="25">
        <f>SUM(G3:S3)</f>
        <v>202393.5</v>
      </c>
    </row>
    <row r="4" spans="1:21" s="62" customFormat="1" x14ac:dyDescent="0.35">
      <c r="A4" s="9" t="s">
        <v>21</v>
      </c>
      <c r="B4" s="2">
        <v>46113</v>
      </c>
      <c r="C4" s="1" t="s">
        <v>27</v>
      </c>
      <c r="D4" s="1" t="s">
        <v>23</v>
      </c>
      <c r="E4" s="1" t="s">
        <v>24</v>
      </c>
      <c r="F4" s="1" t="s">
        <v>43</v>
      </c>
      <c r="G4" s="3">
        <v>528210</v>
      </c>
      <c r="H4" s="3">
        <v>40896.5</v>
      </c>
      <c r="I4" s="3">
        <v>0</v>
      </c>
      <c r="J4" s="3">
        <v>6160</v>
      </c>
      <c r="K4" s="3">
        <v>17032</v>
      </c>
      <c r="L4" s="3">
        <v>3280</v>
      </c>
      <c r="M4" s="3">
        <v>44762</v>
      </c>
      <c r="N4" s="3">
        <v>0</v>
      </c>
      <c r="O4" s="3">
        <v>3334</v>
      </c>
      <c r="P4" s="3">
        <v>10589</v>
      </c>
      <c r="Q4" s="3">
        <v>3125</v>
      </c>
      <c r="R4" s="3">
        <v>2500</v>
      </c>
      <c r="S4" s="3">
        <v>57500</v>
      </c>
      <c r="T4" s="3" t="s">
        <v>28</v>
      </c>
      <c r="U4" s="20">
        <f t="shared" ref="U4:U67" si="0">SUM(G4:S4)</f>
        <v>717388.5</v>
      </c>
    </row>
    <row r="5" spans="1:21" s="62" customFormat="1" x14ac:dyDescent="0.35">
      <c r="A5" s="9" t="s">
        <v>21</v>
      </c>
      <c r="B5" s="2">
        <v>46113</v>
      </c>
      <c r="C5" s="1" t="s">
        <v>29</v>
      </c>
      <c r="D5" s="1" t="s">
        <v>23</v>
      </c>
      <c r="E5" s="1" t="s">
        <v>24</v>
      </c>
      <c r="F5" s="1" t="s">
        <v>43</v>
      </c>
      <c r="G5" s="3">
        <v>86702</v>
      </c>
      <c r="H5" s="3">
        <v>0</v>
      </c>
      <c r="I5" s="3">
        <v>704</v>
      </c>
      <c r="J5" s="3">
        <v>6160</v>
      </c>
      <c r="K5" s="3">
        <v>4232</v>
      </c>
      <c r="L5" s="3">
        <v>0</v>
      </c>
      <c r="M5" s="3">
        <v>0</v>
      </c>
      <c r="N5" s="3">
        <v>0</v>
      </c>
      <c r="O5" s="3">
        <v>3334</v>
      </c>
      <c r="P5" s="3">
        <v>0</v>
      </c>
      <c r="Q5" s="3">
        <v>3125</v>
      </c>
      <c r="R5" s="3">
        <v>2500</v>
      </c>
      <c r="S5" s="3">
        <v>0</v>
      </c>
      <c r="T5" s="3"/>
      <c r="U5" s="20">
        <f t="shared" si="0"/>
        <v>106757</v>
      </c>
    </row>
    <row r="6" spans="1:21" s="63" customFormat="1" ht="12" x14ac:dyDescent="0.35">
      <c r="A6" s="9" t="s">
        <v>21</v>
      </c>
      <c r="B6" s="2">
        <v>46113</v>
      </c>
      <c r="C6" s="1" t="s">
        <v>30</v>
      </c>
      <c r="D6" s="1" t="s">
        <v>23</v>
      </c>
      <c r="E6" s="1" t="s">
        <v>24</v>
      </c>
      <c r="F6" s="1" t="s">
        <v>43</v>
      </c>
      <c r="G6" s="3">
        <v>52800</v>
      </c>
      <c r="H6" s="3">
        <v>40896.5</v>
      </c>
      <c r="I6" s="3">
        <v>2816</v>
      </c>
      <c r="J6" s="3">
        <v>6160</v>
      </c>
      <c r="K6" s="3">
        <v>9150</v>
      </c>
      <c r="L6" s="3">
        <v>3740</v>
      </c>
      <c r="M6" s="3"/>
      <c r="N6" s="3">
        <v>0</v>
      </c>
      <c r="O6" s="3">
        <v>3334</v>
      </c>
      <c r="P6" s="3">
        <v>0</v>
      </c>
      <c r="Q6" s="3">
        <v>3125</v>
      </c>
      <c r="R6" s="3">
        <v>2500</v>
      </c>
      <c r="S6" s="3">
        <v>50070</v>
      </c>
      <c r="T6" s="3" t="s">
        <v>31</v>
      </c>
      <c r="U6" s="20">
        <f t="shared" si="0"/>
        <v>174591.5</v>
      </c>
    </row>
    <row r="7" spans="1:21" s="62" customFormat="1" x14ac:dyDescent="0.35">
      <c r="A7" s="9" t="s">
        <v>21</v>
      </c>
      <c r="B7" s="2">
        <v>46113</v>
      </c>
      <c r="C7" s="1" t="s">
        <v>89</v>
      </c>
      <c r="D7" s="1" t="s">
        <v>32</v>
      </c>
      <c r="E7" s="1" t="s">
        <v>33</v>
      </c>
      <c r="F7" s="1" t="s">
        <v>43</v>
      </c>
      <c r="G7" s="3">
        <v>233605</v>
      </c>
      <c r="H7" s="3">
        <v>52662</v>
      </c>
      <c r="I7" s="3">
        <v>0</v>
      </c>
      <c r="J7" s="3">
        <v>2128</v>
      </c>
      <c r="K7" s="3">
        <v>3336</v>
      </c>
      <c r="L7" s="3">
        <v>1675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/>
      <c r="U7" s="20">
        <f t="shared" si="0"/>
        <v>293406</v>
      </c>
    </row>
    <row r="8" spans="1:21" s="62" customFormat="1" x14ac:dyDescent="0.35">
      <c r="A8" s="9" t="s">
        <v>21</v>
      </c>
      <c r="B8" s="2">
        <v>46113</v>
      </c>
      <c r="C8" s="1" t="s">
        <v>34</v>
      </c>
      <c r="D8" s="1" t="s">
        <v>35</v>
      </c>
      <c r="E8" s="1" t="s">
        <v>33</v>
      </c>
      <c r="F8" s="1" t="s">
        <v>43</v>
      </c>
      <c r="G8" s="3">
        <v>3335391</v>
      </c>
      <c r="H8" s="3">
        <v>425953</v>
      </c>
      <c r="I8" s="3">
        <v>0</v>
      </c>
      <c r="J8" s="3">
        <v>85000</v>
      </c>
      <c r="K8" s="3">
        <v>31766</v>
      </c>
      <c r="L8" s="3">
        <v>13275</v>
      </c>
      <c r="M8" s="3">
        <v>13320</v>
      </c>
      <c r="N8" s="3">
        <v>3500</v>
      </c>
      <c r="O8" s="3">
        <v>15000</v>
      </c>
      <c r="P8" s="3">
        <v>0</v>
      </c>
      <c r="Q8" s="3">
        <v>0</v>
      </c>
      <c r="R8" s="3">
        <v>4200</v>
      </c>
      <c r="S8" s="3">
        <v>10000</v>
      </c>
      <c r="T8" s="3" t="s">
        <v>36</v>
      </c>
      <c r="U8" s="20">
        <f t="shared" si="0"/>
        <v>3937405</v>
      </c>
    </row>
    <row r="9" spans="1:21" s="62" customFormat="1" x14ac:dyDescent="0.35">
      <c r="A9" s="9" t="s">
        <v>21</v>
      </c>
      <c r="B9" s="2">
        <v>46113</v>
      </c>
      <c r="C9" s="1" t="s">
        <v>37</v>
      </c>
      <c r="D9" s="1" t="s">
        <v>23</v>
      </c>
      <c r="E9" s="1" t="s">
        <v>33</v>
      </c>
      <c r="F9" s="1" t="s">
        <v>43</v>
      </c>
      <c r="G9" s="3">
        <v>11962</v>
      </c>
      <c r="H9" s="3">
        <v>40896.5</v>
      </c>
      <c r="I9" s="3">
        <v>0</v>
      </c>
      <c r="J9" s="3">
        <v>0</v>
      </c>
      <c r="K9" s="3">
        <v>2514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/>
      <c r="U9" s="20">
        <f t="shared" si="0"/>
        <v>55372.5</v>
      </c>
    </row>
    <row r="10" spans="1:21" s="62" customFormat="1" x14ac:dyDescent="0.35">
      <c r="A10" s="9" t="s">
        <v>21</v>
      </c>
      <c r="B10" s="2">
        <v>46113</v>
      </c>
      <c r="C10" s="1" t="s">
        <v>134</v>
      </c>
      <c r="D10" s="1" t="s">
        <v>38</v>
      </c>
      <c r="E10" s="1" t="s">
        <v>24</v>
      </c>
      <c r="F10" s="1" t="s">
        <v>43</v>
      </c>
      <c r="G10" s="3">
        <v>212966</v>
      </c>
      <c r="H10" s="3">
        <v>21225.599999999999</v>
      </c>
      <c r="I10" s="3">
        <v>62055</v>
      </c>
      <c r="J10" s="3">
        <v>2622</v>
      </c>
      <c r="K10" s="3">
        <v>3952</v>
      </c>
      <c r="L10" s="3">
        <v>1108</v>
      </c>
      <c r="M10" s="3">
        <v>0</v>
      </c>
      <c r="N10" s="3">
        <v>0</v>
      </c>
      <c r="O10" s="3">
        <v>2333</v>
      </c>
      <c r="P10" s="3">
        <v>0</v>
      </c>
      <c r="Q10" s="1">
        <v>1000</v>
      </c>
      <c r="R10" s="3">
        <v>1770</v>
      </c>
      <c r="S10" s="3">
        <v>21780</v>
      </c>
      <c r="T10" s="3" t="s">
        <v>39</v>
      </c>
      <c r="U10" s="20">
        <f t="shared" si="0"/>
        <v>330811.59999999998</v>
      </c>
    </row>
    <row r="11" spans="1:21" s="62" customFormat="1" x14ac:dyDescent="0.35">
      <c r="A11" s="9" t="s">
        <v>21</v>
      </c>
      <c r="B11" s="2">
        <v>46113</v>
      </c>
      <c r="C11" s="1" t="s">
        <v>49</v>
      </c>
      <c r="D11" s="1" t="s">
        <v>38</v>
      </c>
      <c r="E11" s="1" t="s">
        <v>24</v>
      </c>
      <c r="F11" s="1" t="s">
        <v>43</v>
      </c>
      <c r="G11" s="3">
        <v>46987</v>
      </c>
      <c r="H11" s="3">
        <v>21225.599999999999</v>
      </c>
      <c r="I11" s="3">
        <v>0</v>
      </c>
      <c r="J11" s="3"/>
      <c r="K11" s="3"/>
      <c r="L11" s="3"/>
      <c r="M11" s="3"/>
      <c r="N11" s="3"/>
      <c r="O11" s="3"/>
      <c r="P11" s="3"/>
      <c r="Q11" s="1"/>
      <c r="R11" s="3"/>
      <c r="S11" s="3"/>
      <c r="T11" s="3"/>
      <c r="U11" s="20">
        <f t="shared" si="0"/>
        <v>68212.600000000006</v>
      </c>
    </row>
    <row r="12" spans="1:21" s="62" customFormat="1" x14ac:dyDescent="0.35">
      <c r="A12" s="9" t="s">
        <v>21</v>
      </c>
      <c r="B12" s="2">
        <v>46113</v>
      </c>
      <c r="C12" s="1" t="s">
        <v>40</v>
      </c>
      <c r="D12" s="1" t="s">
        <v>38</v>
      </c>
      <c r="E12" s="1" t="s">
        <v>24</v>
      </c>
      <c r="F12" s="1" t="s">
        <v>43</v>
      </c>
      <c r="G12" s="3">
        <v>100834</v>
      </c>
      <c r="H12" s="3">
        <v>21225.599999999999</v>
      </c>
      <c r="I12" s="3">
        <v>0</v>
      </c>
      <c r="J12" s="3">
        <v>2622</v>
      </c>
      <c r="K12" s="3">
        <v>3720</v>
      </c>
      <c r="L12" s="3">
        <v>1108</v>
      </c>
      <c r="M12" s="3">
        <v>6720</v>
      </c>
      <c r="N12" s="3">
        <v>2000</v>
      </c>
      <c r="O12" s="3">
        <v>2333</v>
      </c>
      <c r="P12" s="3">
        <v>2500</v>
      </c>
      <c r="Q12" s="1">
        <v>1000</v>
      </c>
      <c r="R12" s="3">
        <v>1770</v>
      </c>
      <c r="S12" s="3">
        <v>0</v>
      </c>
      <c r="T12" s="3"/>
      <c r="U12" s="20">
        <f t="shared" si="0"/>
        <v>145832.6</v>
      </c>
    </row>
    <row r="13" spans="1:21" s="62" customFormat="1" x14ac:dyDescent="0.35">
      <c r="A13" s="9" t="s">
        <v>21</v>
      </c>
      <c r="B13" s="2">
        <v>46113</v>
      </c>
      <c r="C13" s="1" t="s">
        <v>88</v>
      </c>
      <c r="D13" s="1" t="s">
        <v>38</v>
      </c>
      <c r="E13" s="1" t="s">
        <v>24</v>
      </c>
      <c r="F13" s="1" t="s">
        <v>43</v>
      </c>
      <c r="G13" s="3">
        <v>22003</v>
      </c>
      <c r="H13" s="3">
        <v>21225.599999999999</v>
      </c>
      <c r="I13" s="3"/>
      <c r="J13" s="3"/>
      <c r="K13" s="3"/>
      <c r="L13" s="3"/>
      <c r="M13" s="3"/>
      <c r="N13" s="3"/>
      <c r="O13" s="3"/>
      <c r="P13" s="3"/>
      <c r="Q13" s="1"/>
      <c r="R13" s="3"/>
      <c r="S13" s="3"/>
      <c r="T13" s="3"/>
      <c r="U13" s="20">
        <f t="shared" si="0"/>
        <v>43228.6</v>
      </c>
    </row>
    <row r="14" spans="1:21" s="62" customFormat="1" x14ac:dyDescent="0.35">
      <c r="A14" s="9" t="s">
        <v>21</v>
      </c>
      <c r="B14" s="2">
        <v>46113</v>
      </c>
      <c r="C14" s="1" t="s">
        <v>41</v>
      </c>
      <c r="D14" s="1" t="s">
        <v>38</v>
      </c>
      <c r="E14" s="1" t="s">
        <v>24</v>
      </c>
      <c r="F14" s="1" t="s">
        <v>43</v>
      </c>
      <c r="G14" s="3">
        <v>164650</v>
      </c>
      <c r="H14" s="3">
        <v>21225.599999999999</v>
      </c>
      <c r="I14" s="3">
        <v>0</v>
      </c>
      <c r="J14" s="3">
        <v>2622</v>
      </c>
      <c r="K14" s="3">
        <v>1232</v>
      </c>
      <c r="L14" s="3">
        <v>1108</v>
      </c>
      <c r="M14" s="3">
        <v>0</v>
      </c>
      <c r="N14" s="3">
        <v>0</v>
      </c>
      <c r="O14" s="3">
        <v>2333</v>
      </c>
      <c r="P14" s="3">
        <v>0</v>
      </c>
      <c r="Q14" s="1">
        <v>1000</v>
      </c>
      <c r="R14" s="3">
        <v>1770</v>
      </c>
      <c r="S14" s="3">
        <v>0</v>
      </c>
      <c r="T14" s="3"/>
      <c r="U14" s="20">
        <f t="shared" si="0"/>
        <v>195940.6</v>
      </c>
    </row>
    <row r="15" spans="1:21" s="62" customFormat="1" x14ac:dyDescent="0.35">
      <c r="A15" s="9" t="s">
        <v>21</v>
      </c>
      <c r="B15" s="2">
        <v>46113</v>
      </c>
      <c r="C15" s="1" t="s">
        <v>78</v>
      </c>
      <c r="D15" s="1" t="s">
        <v>79</v>
      </c>
      <c r="E15" s="1" t="s">
        <v>80</v>
      </c>
      <c r="F15" s="1" t="s">
        <v>43</v>
      </c>
      <c r="G15" s="1">
        <v>223959</v>
      </c>
      <c r="H15" s="1">
        <v>0</v>
      </c>
      <c r="I15" s="1">
        <v>0</v>
      </c>
      <c r="J15" s="3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9"/>
      <c r="U15" s="20">
        <f t="shared" si="0"/>
        <v>223959</v>
      </c>
    </row>
    <row r="16" spans="1:21" s="62" customFormat="1" x14ac:dyDescent="0.35">
      <c r="A16" s="9" t="s">
        <v>21</v>
      </c>
      <c r="B16" s="2">
        <v>46113</v>
      </c>
      <c r="C16" s="1" t="s">
        <v>34</v>
      </c>
      <c r="D16" s="1" t="s">
        <v>42</v>
      </c>
      <c r="E16" s="1" t="s">
        <v>33</v>
      </c>
      <c r="F16" s="1" t="s">
        <v>25</v>
      </c>
      <c r="G16" s="3">
        <v>13255030</v>
      </c>
      <c r="H16" s="3">
        <v>3239032</v>
      </c>
      <c r="I16" s="3">
        <v>246100</v>
      </c>
      <c r="J16" s="3">
        <v>363712</v>
      </c>
      <c r="K16" s="3">
        <v>159268</v>
      </c>
      <c r="L16" s="3">
        <v>78000</v>
      </c>
      <c r="M16" s="3">
        <v>52830</v>
      </c>
      <c r="N16" s="3">
        <v>0</v>
      </c>
      <c r="O16" s="3">
        <v>0</v>
      </c>
      <c r="P16" s="3">
        <v>0</v>
      </c>
      <c r="Q16" s="3">
        <v>31500</v>
      </c>
      <c r="R16" s="3">
        <v>0</v>
      </c>
      <c r="S16" s="3">
        <v>0</v>
      </c>
      <c r="T16" s="3"/>
      <c r="U16" s="20">
        <f t="shared" si="0"/>
        <v>17425472</v>
      </c>
    </row>
    <row r="17" spans="1:21" s="62" customFormat="1" x14ac:dyDescent="0.35">
      <c r="A17" s="9" t="s">
        <v>21</v>
      </c>
      <c r="B17" s="2">
        <v>46113</v>
      </c>
      <c r="C17" s="1" t="s">
        <v>34</v>
      </c>
      <c r="D17" s="1" t="s">
        <v>44</v>
      </c>
      <c r="E17" s="1" t="s">
        <v>33</v>
      </c>
      <c r="F17" s="1" t="s">
        <v>25</v>
      </c>
      <c r="G17" s="3">
        <v>2448838</v>
      </c>
      <c r="H17" s="3">
        <v>276040</v>
      </c>
      <c r="I17" s="3">
        <v>40812</v>
      </c>
      <c r="J17" s="3">
        <v>57290</v>
      </c>
      <c r="K17" s="3">
        <v>64057</v>
      </c>
      <c r="L17" s="3">
        <v>13140</v>
      </c>
      <c r="M17" s="3">
        <v>52462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/>
      <c r="U17" s="20">
        <f t="shared" si="0"/>
        <v>2952639</v>
      </c>
    </row>
    <row r="18" spans="1:21" s="62" customFormat="1" x14ac:dyDescent="0.35">
      <c r="A18" s="9" t="s">
        <v>21</v>
      </c>
      <c r="B18" s="2">
        <v>46113</v>
      </c>
      <c r="C18" s="1" t="s">
        <v>45</v>
      </c>
      <c r="D18" s="1" t="s">
        <v>46</v>
      </c>
      <c r="E18" s="1" t="s">
        <v>33</v>
      </c>
      <c r="F18" s="1" t="s">
        <v>25</v>
      </c>
      <c r="G18" s="3">
        <v>115986</v>
      </c>
      <c r="H18" s="3">
        <v>56967</v>
      </c>
      <c r="I18" s="3">
        <v>0</v>
      </c>
      <c r="J18" s="3">
        <v>0</v>
      </c>
      <c r="K18" s="3">
        <v>9660</v>
      </c>
      <c r="L18" s="3">
        <v>2250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/>
      <c r="U18" s="20">
        <f t="shared" si="0"/>
        <v>184863</v>
      </c>
    </row>
    <row r="19" spans="1:21" s="63" customFormat="1" ht="12" x14ac:dyDescent="0.35">
      <c r="A19" s="9" t="s">
        <v>21</v>
      </c>
      <c r="B19" s="2">
        <v>46113</v>
      </c>
      <c r="C19" s="1" t="s">
        <v>30</v>
      </c>
      <c r="D19" s="1" t="s">
        <v>47</v>
      </c>
      <c r="E19" s="1" t="s">
        <v>24</v>
      </c>
      <c r="F19" s="1" t="s">
        <v>48</v>
      </c>
      <c r="G19" s="3">
        <v>32370</v>
      </c>
      <c r="H19" s="3">
        <v>50498</v>
      </c>
      <c r="I19" s="3">
        <v>0</v>
      </c>
      <c r="J19" s="3">
        <v>5584</v>
      </c>
      <c r="K19" s="3">
        <v>2730</v>
      </c>
      <c r="L19" s="3">
        <v>1050</v>
      </c>
      <c r="M19" s="3">
        <v>0</v>
      </c>
      <c r="N19" s="3">
        <v>4413</v>
      </c>
      <c r="O19" s="3">
        <v>0</v>
      </c>
      <c r="P19" s="3">
        <v>0</v>
      </c>
      <c r="Q19" s="3">
        <v>1500</v>
      </c>
      <c r="R19" s="3">
        <v>2343</v>
      </c>
      <c r="S19" s="3">
        <v>0</v>
      </c>
      <c r="T19" s="3"/>
      <c r="U19" s="20">
        <f t="shared" si="0"/>
        <v>100488</v>
      </c>
    </row>
    <row r="20" spans="1:21" s="62" customFormat="1" x14ac:dyDescent="0.35">
      <c r="A20" s="9" t="s">
        <v>21</v>
      </c>
      <c r="B20" s="2">
        <v>46113</v>
      </c>
      <c r="C20" s="1" t="s">
        <v>49</v>
      </c>
      <c r="D20" s="1" t="s">
        <v>47</v>
      </c>
      <c r="E20" s="1" t="s">
        <v>24</v>
      </c>
      <c r="F20" s="1" t="s">
        <v>48</v>
      </c>
      <c r="G20" s="3">
        <v>3200439</v>
      </c>
      <c r="H20" s="3">
        <v>75745</v>
      </c>
      <c r="I20" s="3">
        <v>0</v>
      </c>
      <c r="J20" s="3">
        <v>210330</v>
      </c>
      <c r="K20" s="3">
        <v>52774</v>
      </c>
      <c r="L20" s="3">
        <v>5000</v>
      </c>
      <c r="M20" s="3">
        <v>0</v>
      </c>
      <c r="N20" s="3">
        <v>1430</v>
      </c>
      <c r="O20" s="3"/>
      <c r="P20" s="3">
        <v>10500</v>
      </c>
      <c r="Q20" s="3"/>
      <c r="R20" s="3">
        <v>10353</v>
      </c>
      <c r="S20" s="3">
        <v>82961</v>
      </c>
      <c r="T20" s="3" t="s">
        <v>50</v>
      </c>
      <c r="U20" s="20">
        <f t="shared" si="0"/>
        <v>3649532</v>
      </c>
    </row>
    <row r="21" spans="1:21" s="62" customFormat="1" x14ac:dyDescent="0.35">
      <c r="A21" s="9" t="s">
        <v>21</v>
      </c>
      <c r="B21" s="2">
        <v>46113</v>
      </c>
      <c r="C21" s="1" t="s">
        <v>51</v>
      </c>
      <c r="D21" s="1" t="s">
        <v>47</v>
      </c>
      <c r="E21" s="1" t="s">
        <v>24</v>
      </c>
      <c r="F21" s="1" t="s">
        <v>48</v>
      </c>
      <c r="G21" s="3">
        <v>98281</v>
      </c>
      <c r="H21" s="3">
        <v>54780.75</v>
      </c>
      <c r="I21" s="3">
        <v>0</v>
      </c>
      <c r="J21" s="11">
        <v>7848</v>
      </c>
      <c r="K21" s="3">
        <v>2956</v>
      </c>
      <c r="L21" s="3">
        <v>792</v>
      </c>
      <c r="M21" s="3">
        <v>0</v>
      </c>
      <c r="N21" s="3">
        <v>0</v>
      </c>
      <c r="O21" s="3">
        <v>7000</v>
      </c>
      <c r="P21" s="3">
        <v>2799</v>
      </c>
      <c r="Q21" s="3">
        <v>0</v>
      </c>
      <c r="R21" s="3">
        <v>0</v>
      </c>
      <c r="S21" s="3">
        <v>0</v>
      </c>
      <c r="T21" s="3"/>
      <c r="U21" s="20">
        <f t="shared" si="0"/>
        <v>174456.75</v>
      </c>
    </row>
    <row r="22" spans="1:21" s="62" customFormat="1" x14ac:dyDescent="0.35">
      <c r="A22" s="9" t="s">
        <v>21</v>
      </c>
      <c r="B22" s="2">
        <v>46113</v>
      </c>
      <c r="C22" s="1" t="s">
        <v>52</v>
      </c>
      <c r="D22" s="1" t="s">
        <v>47</v>
      </c>
      <c r="E22" s="1" t="s">
        <v>24</v>
      </c>
      <c r="F22" s="1" t="s">
        <v>48</v>
      </c>
      <c r="G22" s="3">
        <v>208964</v>
      </c>
      <c r="H22" s="3">
        <v>54780.75</v>
      </c>
      <c r="I22" s="3">
        <v>0</v>
      </c>
      <c r="J22" s="11">
        <v>7848</v>
      </c>
      <c r="K22" s="3">
        <v>5460</v>
      </c>
      <c r="L22" s="3">
        <v>1572</v>
      </c>
      <c r="M22" s="3">
        <v>0</v>
      </c>
      <c r="N22" s="3">
        <v>12091</v>
      </c>
      <c r="O22" s="3">
        <v>7000</v>
      </c>
      <c r="P22" s="3">
        <v>5234</v>
      </c>
      <c r="Q22" s="3">
        <v>0</v>
      </c>
      <c r="R22" s="3">
        <v>0</v>
      </c>
      <c r="S22" s="3">
        <v>0</v>
      </c>
      <c r="T22" s="3"/>
      <c r="U22" s="20">
        <f t="shared" si="0"/>
        <v>302949.75</v>
      </c>
    </row>
    <row r="23" spans="1:21" s="62" customFormat="1" x14ac:dyDescent="0.35">
      <c r="A23" s="9" t="s">
        <v>21</v>
      </c>
      <c r="B23" s="2">
        <v>46113</v>
      </c>
      <c r="C23" s="1" t="s">
        <v>86</v>
      </c>
      <c r="D23" s="4" t="s">
        <v>85</v>
      </c>
      <c r="E23" s="1" t="s">
        <v>24</v>
      </c>
      <c r="F23" s="4" t="s">
        <v>53</v>
      </c>
      <c r="G23" s="3">
        <v>73076</v>
      </c>
      <c r="H23" s="3">
        <v>0</v>
      </c>
      <c r="I23" s="3">
        <v>5200</v>
      </c>
      <c r="J23" s="11"/>
      <c r="K23" s="3"/>
      <c r="L23" s="3"/>
      <c r="M23" s="3"/>
      <c r="N23" s="3"/>
      <c r="O23" s="3"/>
      <c r="P23" s="3"/>
      <c r="Q23" s="3"/>
      <c r="R23" s="3"/>
      <c r="S23" s="3"/>
      <c r="T23" s="3"/>
      <c r="U23" s="20">
        <f t="shared" si="0"/>
        <v>78276</v>
      </c>
    </row>
    <row r="24" spans="1:21" s="62" customFormat="1" x14ac:dyDescent="0.35">
      <c r="A24" s="9" t="s">
        <v>21</v>
      </c>
      <c r="B24" s="2">
        <v>46113</v>
      </c>
      <c r="C24" s="1" t="s">
        <v>89</v>
      </c>
      <c r="D24" s="4" t="s">
        <v>85</v>
      </c>
      <c r="E24" s="1" t="s">
        <v>24</v>
      </c>
      <c r="F24" s="4" t="s">
        <v>53</v>
      </c>
      <c r="G24" s="3">
        <v>611412</v>
      </c>
      <c r="H24" s="3">
        <v>67483</v>
      </c>
      <c r="I24" s="3">
        <v>0</v>
      </c>
      <c r="J24" s="3">
        <v>55420</v>
      </c>
      <c r="K24" s="3">
        <v>0</v>
      </c>
      <c r="L24" s="3">
        <v>6900</v>
      </c>
      <c r="M24" s="3">
        <v>7630</v>
      </c>
      <c r="N24" s="3">
        <v>12778</v>
      </c>
      <c r="O24" s="3">
        <v>0</v>
      </c>
      <c r="P24" s="3">
        <v>0</v>
      </c>
      <c r="Q24" s="3">
        <v>0</v>
      </c>
      <c r="R24" s="3">
        <v>0</v>
      </c>
      <c r="S24" s="3">
        <v>11200</v>
      </c>
      <c r="T24" s="3" t="s">
        <v>54</v>
      </c>
      <c r="U24" s="20">
        <f t="shared" si="0"/>
        <v>772823</v>
      </c>
    </row>
    <row r="25" spans="1:21" s="63" customFormat="1" ht="12" x14ac:dyDescent="0.35">
      <c r="A25" s="9" t="s">
        <v>21</v>
      </c>
      <c r="B25" s="2">
        <v>46113</v>
      </c>
      <c r="C25" s="4" t="s">
        <v>30</v>
      </c>
      <c r="D25" s="4" t="s">
        <v>83</v>
      </c>
      <c r="E25" s="4" t="s">
        <v>24</v>
      </c>
      <c r="F25" s="4" t="s">
        <v>53</v>
      </c>
      <c r="G25" s="3">
        <v>111478</v>
      </c>
      <c r="H25" s="3">
        <v>66160</v>
      </c>
      <c r="I25" s="3">
        <v>0</v>
      </c>
      <c r="J25" s="3">
        <v>13360</v>
      </c>
      <c r="K25" s="3">
        <v>2444</v>
      </c>
      <c r="L25" s="3">
        <v>2500</v>
      </c>
      <c r="M25" s="3">
        <v>2214</v>
      </c>
      <c r="N25" s="3">
        <v>12163</v>
      </c>
      <c r="O25" s="3">
        <v>0</v>
      </c>
      <c r="P25" s="3">
        <v>1380</v>
      </c>
      <c r="Q25" s="3">
        <v>1833</v>
      </c>
      <c r="R25" s="3">
        <v>2540</v>
      </c>
      <c r="S25" s="3">
        <v>0</v>
      </c>
      <c r="T25" s="3"/>
      <c r="U25" s="20">
        <f t="shared" si="0"/>
        <v>216072</v>
      </c>
    </row>
    <row r="26" spans="1:21" s="62" customFormat="1" x14ac:dyDescent="0.35">
      <c r="A26" s="9" t="s">
        <v>21</v>
      </c>
      <c r="B26" s="2">
        <v>46113</v>
      </c>
      <c r="C26" s="4" t="s">
        <v>55</v>
      </c>
      <c r="D26" s="4" t="s">
        <v>83</v>
      </c>
      <c r="E26" s="4" t="s">
        <v>24</v>
      </c>
      <c r="F26" s="4" t="s">
        <v>53</v>
      </c>
      <c r="G26" s="3">
        <v>111478</v>
      </c>
      <c r="H26" s="3">
        <v>33080</v>
      </c>
      <c r="I26" s="3">
        <v>0</v>
      </c>
      <c r="J26" s="3">
        <v>13360</v>
      </c>
      <c r="K26" s="3">
        <v>2760</v>
      </c>
      <c r="L26" s="3">
        <v>2650</v>
      </c>
      <c r="M26" s="3">
        <v>2214</v>
      </c>
      <c r="N26" s="3">
        <v>0</v>
      </c>
      <c r="O26" s="3">
        <v>0</v>
      </c>
      <c r="P26" s="3">
        <v>1380</v>
      </c>
      <c r="Q26" s="3">
        <v>1833</v>
      </c>
      <c r="R26" s="3">
        <v>2540</v>
      </c>
      <c r="S26" s="3">
        <v>0</v>
      </c>
      <c r="T26" s="3"/>
      <c r="U26" s="20">
        <f t="shared" si="0"/>
        <v>171295</v>
      </c>
    </row>
    <row r="27" spans="1:21" s="62" customFormat="1" x14ac:dyDescent="0.35">
      <c r="A27" s="9" t="s">
        <v>21</v>
      </c>
      <c r="B27" s="2">
        <v>46113</v>
      </c>
      <c r="C27" s="1" t="s">
        <v>56</v>
      </c>
      <c r="D27" s="4" t="s">
        <v>84</v>
      </c>
      <c r="E27" s="4" t="s">
        <v>24</v>
      </c>
      <c r="F27" s="4" t="s">
        <v>53</v>
      </c>
      <c r="G27" s="3">
        <v>1602351</v>
      </c>
      <c r="H27" s="3">
        <v>325108</v>
      </c>
      <c r="I27" s="3">
        <v>106840</v>
      </c>
      <c r="J27" s="3">
        <v>136480</v>
      </c>
      <c r="K27" s="3">
        <v>33246</v>
      </c>
      <c r="L27" s="3">
        <v>27750</v>
      </c>
      <c r="M27" s="3">
        <v>95105</v>
      </c>
      <c r="N27" s="3">
        <v>9591</v>
      </c>
      <c r="O27" s="3">
        <v>25500</v>
      </c>
      <c r="P27" s="3">
        <v>19175</v>
      </c>
      <c r="Q27" s="3">
        <v>15000</v>
      </c>
      <c r="R27" s="3">
        <v>8654</v>
      </c>
      <c r="S27" s="3">
        <v>4000</v>
      </c>
      <c r="T27" s="3" t="s">
        <v>57</v>
      </c>
      <c r="U27" s="20">
        <f t="shared" si="0"/>
        <v>2408800</v>
      </c>
    </row>
    <row r="28" spans="1:21" s="62" customFormat="1" x14ac:dyDescent="0.35">
      <c r="A28" s="9" t="s">
        <v>21</v>
      </c>
      <c r="B28" s="2">
        <v>46113</v>
      </c>
      <c r="C28" s="4" t="s">
        <v>58</v>
      </c>
      <c r="D28" s="4" t="s">
        <v>84</v>
      </c>
      <c r="E28" s="4" t="s">
        <v>24</v>
      </c>
      <c r="F28" s="4" t="s">
        <v>53</v>
      </c>
      <c r="G28" s="3">
        <v>895563</v>
      </c>
      <c r="H28" s="3">
        <v>65021</v>
      </c>
      <c r="I28" s="3">
        <v>92950</v>
      </c>
      <c r="J28" s="3">
        <v>34120</v>
      </c>
      <c r="K28" s="3">
        <v>33246</v>
      </c>
      <c r="L28" s="3">
        <v>7200</v>
      </c>
      <c r="M28" s="3">
        <v>58000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/>
      <c r="U28" s="20">
        <f t="shared" si="0"/>
        <v>1186100</v>
      </c>
    </row>
    <row r="29" spans="1:21" s="62" customFormat="1" x14ac:dyDescent="0.35">
      <c r="A29" s="9" t="s">
        <v>21</v>
      </c>
      <c r="B29" s="2">
        <v>46113</v>
      </c>
      <c r="C29" s="4" t="s">
        <v>59</v>
      </c>
      <c r="D29" s="4" t="s">
        <v>87</v>
      </c>
      <c r="E29" s="4" t="s">
        <v>24</v>
      </c>
      <c r="F29" s="4" t="s">
        <v>53</v>
      </c>
      <c r="G29" s="3">
        <v>29221</v>
      </c>
      <c r="H29" s="3">
        <v>30988</v>
      </c>
      <c r="I29" s="3">
        <v>2600</v>
      </c>
      <c r="J29" s="3">
        <v>52897</v>
      </c>
      <c r="K29" s="3">
        <v>3500</v>
      </c>
      <c r="L29" s="3">
        <v>5800</v>
      </c>
      <c r="M29" s="3">
        <v>1960</v>
      </c>
      <c r="N29" s="3">
        <v>0</v>
      </c>
      <c r="O29" s="3">
        <v>3433.3333333333335</v>
      </c>
      <c r="P29" s="3">
        <v>0</v>
      </c>
      <c r="Q29" s="3">
        <v>1600</v>
      </c>
      <c r="R29" s="3">
        <v>1805.3333333333333</v>
      </c>
      <c r="S29" s="3"/>
      <c r="T29" s="3"/>
      <c r="U29" s="20">
        <f t="shared" si="0"/>
        <v>133804.66666666666</v>
      </c>
    </row>
    <row r="30" spans="1:21" s="62" customFormat="1" x14ac:dyDescent="0.35">
      <c r="A30" s="9" t="s">
        <v>21</v>
      </c>
      <c r="B30" s="2">
        <v>46113</v>
      </c>
      <c r="C30" s="4" t="s">
        <v>40</v>
      </c>
      <c r="D30" s="4" t="s">
        <v>87</v>
      </c>
      <c r="E30" s="4" t="s">
        <v>24</v>
      </c>
      <c r="F30" s="4" t="s">
        <v>53</v>
      </c>
      <c r="G30" s="3">
        <v>101100</v>
      </c>
      <c r="H30" s="3">
        <v>30988</v>
      </c>
      <c r="I30" s="3">
        <v>95550</v>
      </c>
      <c r="J30" s="3">
        <v>52897</v>
      </c>
      <c r="K30" s="3">
        <v>2450</v>
      </c>
      <c r="L30" s="3">
        <v>3200</v>
      </c>
      <c r="M30" s="3">
        <v>15094</v>
      </c>
      <c r="N30" s="3">
        <v>5000</v>
      </c>
      <c r="O30" s="3">
        <v>3433.3333333333335</v>
      </c>
      <c r="P30" s="3">
        <v>2568</v>
      </c>
      <c r="Q30" s="3">
        <v>1600</v>
      </c>
      <c r="R30" s="3">
        <v>1805.3333333333333</v>
      </c>
      <c r="S30" s="3"/>
      <c r="T30" s="3"/>
      <c r="U30" s="20">
        <f t="shared" si="0"/>
        <v>315685.66666666663</v>
      </c>
    </row>
    <row r="31" spans="1:21" s="62" customFormat="1" x14ac:dyDescent="0.35">
      <c r="A31" s="9" t="s">
        <v>21</v>
      </c>
      <c r="B31" s="2">
        <v>46113</v>
      </c>
      <c r="C31" s="4" t="s">
        <v>34</v>
      </c>
      <c r="D31" s="4" t="s">
        <v>87</v>
      </c>
      <c r="E31" s="4" t="s">
        <v>24</v>
      </c>
      <c r="F31" s="4" t="s">
        <v>53</v>
      </c>
      <c r="G31" s="3">
        <v>4133204</v>
      </c>
      <c r="H31" s="3">
        <v>464829</v>
      </c>
      <c r="I31" s="3">
        <v>359750</v>
      </c>
      <c r="J31" s="3">
        <v>52897</v>
      </c>
      <c r="K31" s="3">
        <v>45079</v>
      </c>
      <c r="L31" s="3">
        <v>75900</v>
      </c>
      <c r="M31" s="3">
        <v>22802</v>
      </c>
      <c r="N31" s="3">
        <v>14020</v>
      </c>
      <c r="O31" s="3">
        <v>3433.3333333333335</v>
      </c>
      <c r="P31" s="3">
        <v>10652</v>
      </c>
      <c r="Q31" s="3">
        <v>1600</v>
      </c>
      <c r="R31" s="3">
        <v>1805.3333333333333</v>
      </c>
      <c r="S31" s="3">
        <v>3730</v>
      </c>
      <c r="T31" s="3" t="s">
        <v>60</v>
      </c>
      <c r="U31" s="20">
        <f t="shared" si="0"/>
        <v>5189701.666666666</v>
      </c>
    </row>
    <row r="32" spans="1:21" s="62" customFormat="1" x14ac:dyDescent="0.35">
      <c r="A32" s="9" t="s">
        <v>21</v>
      </c>
      <c r="B32" s="2">
        <v>46113</v>
      </c>
      <c r="C32" s="4" t="s">
        <v>34</v>
      </c>
      <c r="D32" s="4" t="s">
        <v>61</v>
      </c>
      <c r="E32" s="4" t="s">
        <v>33</v>
      </c>
      <c r="F32" s="4" t="s">
        <v>53</v>
      </c>
      <c r="G32" s="3">
        <v>3203408</v>
      </c>
      <c r="H32" s="3">
        <v>354891</v>
      </c>
      <c r="I32" s="3">
        <v>232000</v>
      </c>
      <c r="J32" s="3">
        <v>71888</v>
      </c>
      <c r="K32" s="3">
        <v>20196</v>
      </c>
      <c r="L32" s="3">
        <v>19206</v>
      </c>
      <c r="M32" s="3">
        <v>21251</v>
      </c>
      <c r="N32" s="3">
        <v>10130</v>
      </c>
      <c r="O32" s="3">
        <v>5000</v>
      </c>
      <c r="P32" s="3">
        <v>10973</v>
      </c>
      <c r="Q32" s="3">
        <v>0</v>
      </c>
      <c r="R32" s="3">
        <v>2917</v>
      </c>
      <c r="S32" s="3">
        <v>6840</v>
      </c>
      <c r="T32" s="3" t="s">
        <v>60</v>
      </c>
      <c r="U32" s="20">
        <f t="shared" si="0"/>
        <v>3958700</v>
      </c>
    </row>
    <row r="33" spans="1:21" s="62" customFormat="1" x14ac:dyDescent="0.35">
      <c r="A33" s="9" t="s">
        <v>21</v>
      </c>
      <c r="B33" s="2">
        <v>46113</v>
      </c>
      <c r="C33" s="4" t="s">
        <v>34</v>
      </c>
      <c r="D33" s="4" t="s">
        <v>62</v>
      </c>
      <c r="E33" s="4" t="s">
        <v>24</v>
      </c>
      <c r="F33" s="4" t="s">
        <v>53</v>
      </c>
      <c r="G33" s="3">
        <v>2584690.9699999997</v>
      </c>
      <c r="H33" s="4">
        <v>739229</v>
      </c>
      <c r="I33" s="3">
        <v>141400</v>
      </c>
      <c r="J33" s="3">
        <v>60682</v>
      </c>
      <c r="K33" s="3">
        <v>53436</v>
      </c>
      <c r="L33" s="3">
        <v>23274</v>
      </c>
      <c r="M33" s="3">
        <v>7017</v>
      </c>
      <c r="N33" s="3">
        <v>8695</v>
      </c>
      <c r="O33" s="3">
        <v>15000</v>
      </c>
      <c r="P33" s="3">
        <v>32600</v>
      </c>
      <c r="Q33" s="3">
        <v>0</v>
      </c>
      <c r="R33" s="3">
        <v>6042</v>
      </c>
      <c r="S33" s="3">
        <v>7296</v>
      </c>
      <c r="T33" s="3" t="s">
        <v>60</v>
      </c>
      <c r="U33" s="20">
        <f t="shared" si="0"/>
        <v>3679361.9699999997</v>
      </c>
    </row>
    <row r="34" spans="1:21" s="62" customFormat="1" x14ac:dyDescent="0.35">
      <c r="A34" s="9" t="s">
        <v>21</v>
      </c>
      <c r="B34" s="2">
        <v>46113</v>
      </c>
      <c r="C34" s="1" t="s">
        <v>63</v>
      </c>
      <c r="D34" s="1" t="s">
        <v>64</v>
      </c>
      <c r="E34" s="1" t="s">
        <v>33</v>
      </c>
      <c r="F34" s="1" t="s">
        <v>65</v>
      </c>
      <c r="G34" s="3">
        <v>75245</v>
      </c>
      <c r="H34" s="3">
        <v>186000</v>
      </c>
      <c r="I34" s="3">
        <v>0</v>
      </c>
      <c r="J34" s="3">
        <v>11877</v>
      </c>
      <c r="K34" s="3">
        <v>0</v>
      </c>
      <c r="L34" s="3"/>
      <c r="M34" s="3">
        <v>15850</v>
      </c>
      <c r="N34" s="3"/>
      <c r="O34" s="3"/>
      <c r="P34" s="3"/>
      <c r="Q34" s="3"/>
      <c r="R34" s="3"/>
      <c r="S34" s="3"/>
      <c r="T34" s="3"/>
      <c r="U34" s="20">
        <f t="shared" si="0"/>
        <v>288972</v>
      </c>
    </row>
    <row r="35" spans="1:21" s="63" customFormat="1" ht="12" x14ac:dyDescent="0.35">
      <c r="A35" s="9" t="s">
        <v>21</v>
      </c>
      <c r="B35" s="2">
        <v>46113</v>
      </c>
      <c r="C35" s="1" t="s">
        <v>89</v>
      </c>
      <c r="D35" s="1" t="s">
        <v>66</v>
      </c>
      <c r="E35" s="1" t="s">
        <v>33</v>
      </c>
      <c r="F35" s="1" t="s">
        <v>65</v>
      </c>
      <c r="G35" s="3">
        <v>295888</v>
      </c>
      <c r="H35" s="3">
        <v>59568</v>
      </c>
      <c r="I35" s="3">
        <v>0</v>
      </c>
      <c r="J35" s="3">
        <v>3324</v>
      </c>
      <c r="K35" s="3">
        <v>6136</v>
      </c>
      <c r="L35" s="3">
        <v>2400</v>
      </c>
      <c r="M35" s="3">
        <v>2537</v>
      </c>
      <c r="N35" s="3">
        <v>12587</v>
      </c>
      <c r="O35" s="3">
        <v>0</v>
      </c>
      <c r="P35" s="3">
        <v>0</v>
      </c>
      <c r="Q35" s="3">
        <v>777</v>
      </c>
      <c r="R35" s="3">
        <v>0</v>
      </c>
      <c r="S35" s="3">
        <v>1700</v>
      </c>
      <c r="T35" s="3"/>
      <c r="U35" s="20">
        <f t="shared" si="0"/>
        <v>384917</v>
      </c>
    </row>
    <row r="36" spans="1:21" s="62" customFormat="1" x14ac:dyDescent="0.35">
      <c r="A36" s="9" t="s">
        <v>21</v>
      </c>
      <c r="B36" s="2">
        <v>46113</v>
      </c>
      <c r="C36" s="1" t="s">
        <v>67</v>
      </c>
      <c r="D36" s="1" t="s">
        <v>68</v>
      </c>
      <c r="E36" s="1" t="s">
        <v>24</v>
      </c>
      <c r="F36" s="1" t="s">
        <v>65</v>
      </c>
      <c r="G36" s="3">
        <v>269246</v>
      </c>
      <c r="H36" s="3">
        <v>14386.666666666666</v>
      </c>
      <c r="I36" s="3">
        <v>0</v>
      </c>
      <c r="J36" s="3">
        <v>28987.8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/>
      <c r="R36" s="3">
        <v>0</v>
      </c>
      <c r="S36" s="3"/>
      <c r="T36" s="3"/>
      <c r="U36" s="20">
        <f t="shared" si="0"/>
        <v>312620.46666666667</v>
      </c>
    </row>
    <row r="37" spans="1:21" s="62" customFormat="1" x14ac:dyDescent="0.35">
      <c r="A37" s="9" t="s">
        <v>21</v>
      </c>
      <c r="B37" s="2">
        <v>46113</v>
      </c>
      <c r="C37" s="1" t="s">
        <v>69</v>
      </c>
      <c r="D37" s="1" t="s">
        <v>68</v>
      </c>
      <c r="E37" s="1" t="s">
        <v>24</v>
      </c>
      <c r="F37" s="1" t="s">
        <v>65</v>
      </c>
      <c r="G37" s="3">
        <v>0</v>
      </c>
      <c r="H37" s="3">
        <v>14386.666666666666</v>
      </c>
      <c r="I37" s="3">
        <v>0</v>
      </c>
      <c r="J37" s="3">
        <v>28987.8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/>
      <c r="U37" s="20">
        <f t="shared" si="0"/>
        <v>43374.466666666667</v>
      </c>
    </row>
    <row r="38" spans="1:21" s="62" customFormat="1" x14ac:dyDescent="0.35">
      <c r="A38" s="9" t="s">
        <v>21</v>
      </c>
      <c r="B38" s="2">
        <v>46113</v>
      </c>
      <c r="C38" s="1" t="s">
        <v>86</v>
      </c>
      <c r="D38" s="1" t="s">
        <v>68</v>
      </c>
      <c r="E38" s="1" t="s">
        <v>24</v>
      </c>
      <c r="F38" s="1" t="s">
        <v>65</v>
      </c>
      <c r="G38" s="3">
        <v>208190</v>
      </c>
      <c r="H38" s="3">
        <v>43160</v>
      </c>
      <c r="I38" s="3">
        <v>0</v>
      </c>
      <c r="J38" s="3">
        <v>28987.8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/>
      <c r="U38" s="20">
        <f t="shared" si="0"/>
        <v>280337.8</v>
      </c>
    </row>
    <row r="39" spans="1:21" s="62" customFormat="1" x14ac:dyDescent="0.35">
      <c r="A39" s="9" t="s">
        <v>21</v>
      </c>
      <c r="B39" s="2">
        <v>46113</v>
      </c>
      <c r="C39" s="1" t="s">
        <v>70</v>
      </c>
      <c r="D39" s="1" t="s">
        <v>68</v>
      </c>
      <c r="E39" s="1" t="s">
        <v>24</v>
      </c>
      <c r="F39" s="1" t="s">
        <v>65</v>
      </c>
      <c r="G39" s="3">
        <v>0</v>
      </c>
      <c r="H39" s="3">
        <v>0</v>
      </c>
      <c r="I39" s="3">
        <v>0</v>
      </c>
      <c r="J39" s="3">
        <v>28987.8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/>
      <c r="U39" s="20">
        <f t="shared" si="0"/>
        <v>28987.8</v>
      </c>
    </row>
    <row r="40" spans="1:21" s="62" customFormat="1" x14ac:dyDescent="0.35">
      <c r="A40" s="9" t="s">
        <v>21</v>
      </c>
      <c r="B40" s="2">
        <v>46113</v>
      </c>
      <c r="C40" s="1" t="s">
        <v>71</v>
      </c>
      <c r="D40" s="1" t="s">
        <v>72</v>
      </c>
      <c r="E40" s="1" t="s">
        <v>33</v>
      </c>
      <c r="F40" s="1" t="s">
        <v>65</v>
      </c>
      <c r="G40" s="3">
        <v>2766648</v>
      </c>
      <c r="H40" s="3">
        <v>424323.37</v>
      </c>
      <c r="I40" s="3">
        <v>0</v>
      </c>
      <c r="J40" s="3">
        <v>177377</v>
      </c>
      <c r="K40" s="3">
        <v>0</v>
      </c>
      <c r="L40" s="3">
        <v>10890</v>
      </c>
      <c r="M40" s="3">
        <v>9375</v>
      </c>
      <c r="N40" s="3">
        <v>9266</v>
      </c>
      <c r="O40" s="3">
        <v>8000</v>
      </c>
      <c r="P40" s="3">
        <v>0</v>
      </c>
      <c r="Q40" s="3">
        <v>0</v>
      </c>
      <c r="R40" s="3">
        <v>9584</v>
      </c>
      <c r="S40" s="3">
        <v>280749</v>
      </c>
      <c r="T40" s="3"/>
      <c r="U40" s="20">
        <f t="shared" si="0"/>
        <v>3696212.37</v>
      </c>
    </row>
    <row r="41" spans="1:21" s="62" customFormat="1" x14ac:dyDescent="0.35">
      <c r="A41" s="9" t="s">
        <v>21</v>
      </c>
      <c r="B41" s="2">
        <v>46113</v>
      </c>
      <c r="C41" s="1" t="s">
        <v>40</v>
      </c>
      <c r="D41" s="1" t="s">
        <v>68</v>
      </c>
      <c r="E41" s="1" t="s">
        <v>24</v>
      </c>
      <c r="F41" s="1" t="s">
        <v>65</v>
      </c>
      <c r="G41" s="3">
        <v>57558</v>
      </c>
      <c r="H41" s="3">
        <v>14386.666666666666</v>
      </c>
      <c r="I41" s="3">
        <v>100100</v>
      </c>
      <c r="J41" s="3">
        <v>28987.8</v>
      </c>
      <c r="K41" s="3">
        <v>0</v>
      </c>
      <c r="L41" s="3">
        <v>0</v>
      </c>
      <c r="M41" s="3">
        <v>2168</v>
      </c>
      <c r="N41" s="3">
        <v>0</v>
      </c>
      <c r="O41" s="3">
        <v>0</v>
      </c>
      <c r="P41" s="3">
        <v>0</v>
      </c>
      <c r="Q41" s="3"/>
      <c r="R41" s="3">
        <v>0</v>
      </c>
      <c r="S41" s="3">
        <v>0</v>
      </c>
      <c r="T41" s="3"/>
      <c r="U41" s="20">
        <f t="shared" si="0"/>
        <v>203200.46666666667</v>
      </c>
    </row>
    <row r="42" spans="1:21" s="62" customFormat="1" x14ac:dyDescent="0.35">
      <c r="A42" s="9" t="s">
        <v>21</v>
      </c>
      <c r="B42" s="2">
        <v>46113</v>
      </c>
      <c r="C42" s="1" t="s">
        <v>73</v>
      </c>
      <c r="D42" s="1" t="s">
        <v>74</v>
      </c>
      <c r="E42" s="1" t="s">
        <v>33</v>
      </c>
      <c r="F42" s="1" t="s">
        <v>65</v>
      </c>
      <c r="G42" s="3">
        <v>873433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75433</v>
      </c>
      <c r="T42" s="3"/>
      <c r="U42" s="20">
        <f t="shared" si="0"/>
        <v>948866</v>
      </c>
    </row>
    <row r="43" spans="1:21" s="28" customFormat="1" ht="12.5" thickBot="1" x14ac:dyDescent="0.4">
      <c r="A43" s="16" t="s">
        <v>21</v>
      </c>
      <c r="B43" s="17">
        <v>46113</v>
      </c>
      <c r="C43" s="18" t="s">
        <v>89</v>
      </c>
      <c r="D43" s="18" t="s">
        <v>75</v>
      </c>
      <c r="E43" s="18" t="s">
        <v>33</v>
      </c>
      <c r="F43" s="18" t="s">
        <v>65</v>
      </c>
      <c r="G43" s="10">
        <v>535557</v>
      </c>
      <c r="H43" s="10">
        <v>69561</v>
      </c>
      <c r="I43" s="10">
        <v>43884</v>
      </c>
      <c r="J43" s="10">
        <v>16882</v>
      </c>
      <c r="K43" s="10">
        <v>5526</v>
      </c>
      <c r="L43" s="10">
        <v>2462</v>
      </c>
      <c r="M43" s="10">
        <v>2700</v>
      </c>
      <c r="N43" s="10">
        <v>9450</v>
      </c>
      <c r="O43" s="10">
        <v>0</v>
      </c>
      <c r="P43" s="10">
        <v>0</v>
      </c>
      <c r="Q43" s="10">
        <v>1400</v>
      </c>
      <c r="R43" s="10">
        <v>0</v>
      </c>
      <c r="S43" s="10">
        <v>0</v>
      </c>
      <c r="T43" s="10"/>
      <c r="U43" s="27">
        <f t="shared" si="0"/>
        <v>687422</v>
      </c>
    </row>
    <row r="44" spans="1:21" s="57" customFormat="1" ht="12" x14ac:dyDescent="0.35">
      <c r="A44" s="54" t="s">
        <v>21</v>
      </c>
      <c r="B44" s="55">
        <v>46143</v>
      </c>
      <c r="C44" s="56" t="s">
        <v>22</v>
      </c>
      <c r="D44" s="56" t="s">
        <v>23</v>
      </c>
      <c r="E44" s="56" t="s">
        <v>24</v>
      </c>
      <c r="F44" s="56" t="s">
        <v>43</v>
      </c>
      <c r="G44" s="56">
        <v>129180</v>
      </c>
      <c r="H44" s="56">
        <v>69258</v>
      </c>
      <c r="I44" s="56">
        <v>0</v>
      </c>
      <c r="J44" s="103">
        <v>0</v>
      </c>
      <c r="K44" s="56">
        <v>4744</v>
      </c>
      <c r="L44" s="56">
        <v>3040</v>
      </c>
      <c r="M44" s="56">
        <v>32035</v>
      </c>
      <c r="N44" s="56">
        <v>0</v>
      </c>
      <c r="O44" s="56">
        <v>0</v>
      </c>
      <c r="P44" s="56">
        <v>0</v>
      </c>
      <c r="Q44" s="56">
        <v>3125</v>
      </c>
      <c r="R44" s="56">
        <v>2500</v>
      </c>
      <c r="S44" s="56">
        <v>5000</v>
      </c>
      <c r="T44" s="56" t="s">
        <v>76</v>
      </c>
      <c r="U44" s="25">
        <f t="shared" si="0"/>
        <v>248882</v>
      </c>
    </row>
    <row r="45" spans="1:21" s="64" customFormat="1" x14ac:dyDescent="0.35">
      <c r="A45" s="50" t="s">
        <v>21</v>
      </c>
      <c r="B45" s="51">
        <v>46143</v>
      </c>
      <c r="C45" s="52" t="s">
        <v>27</v>
      </c>
      <c r="D45" s="52" t="s">
        <v>23</v>
      </c>
      <c r="E45" s="52" t="s">
        <v>24</v>
      </c>
      <c r="F45" s="52" t="s">
        <v>43</v>
      </c>
      <c r="G45" s="52">
        <v>511756</v>
      </c>
      <c r="H45" s="52">
        <v>69258</v>
      </c>
      <c r="I45" s="52">
        <v>0</v>
      </c>
      <c r="J45" s="104">
        <v>0</v>
      </c>
      <c r="K45" s="52">
        <v>12484</v>
      </c>
      <c r="L45" s="52">
        <v>6800</v>
      </c>
      <c r="M45" s="52">
        <v>56404</v>
      </c>
      <c r="N45" s="52">
        <v>5000</v>
      </c>
      <c r="O45" s="52">
        <v>3334</v>
      </c>
      <c r="P45" s="52">
        <v>10950</v>
      </c>
      <c r="Q45" s="52">
        <v>3125</v>
      </c>
      <c r="R45" s="52">
        <v>2500</v>
      </c>
      <c r="S45" s="52">
        <v>0</v>
      </c>
      <c r="T45" s="52"/>
      <c r="U45" s="20">
        <f t="shared" si="0"/>
        <v>681611</v>
      </c>
    </row>
    <row r="46" spans="1:21" s="64" customFormat="1" x14ac:dyDescent="0.35">
      <c r="A46" s="50" t="s">
        <v>21</v>
      </c>
      <c r="B46" s="51">
        <v>46143</v>
      </c>
      <c r="C46" s="52" t="s">
        <v>29</v>
      </c>
      <c r="D46" s="52" t="s">
        <v>23</v>
      </c>
      <c r="E46" s="52" t="s">
        <v>24</v>
      </c>
      <c r="F46" s="52" t="s">
        <v>43</v>
      </c>
      <c r="G46" s="52">
        <v>95403</v>
      </c>
      <c r="H46" s="52">
        <v>0</v>
      </c>
      <c r="I46" s="52">
        <v>0</v>
      </c>
      <c r="J46" s="104">
        <v>0</v>
      </c>
      <c r="K46" s="52">
        <v>2056</v>
      </c>
      <c r="L46" s="52">
        <v>0</v>
      </c>
      <c r="M46" s="52">
        <v>0</v>
      </c>
      <c r="N46" s="52">
        <v>0</v>
      </c>
      <c r="O46" s="52">
        <v>3334</v>
      </c>
      <c r="P46" s="52">
        <v>0</v>
      </c>
      <c r="Q46" s="52">
        <v>3125</v>
      </c>
      <c r="R46" s="52">
        <v>2500</v>
      </c>
      <c r="S46" s="52">
        <v>0</v>
      </c>
      <c r="T46" s="52"/>
      <c r="U46" s="20">
        <f t="shared" si="0"/>
        <v>106418</v>
      </c>
    </row>
    <row r="47" spans="1:21" s="61" customFormat="1" ht="12" x14ac:dyDescent="0.35">
      <c r="A47" s="50" t="s">
        <v>21</v>
      </c>
      <c r="B47" s="51">
        <v>46143</v>
      </c>
      <c r="C47" s="52" t="s">
        <v>30</v>
      </c>
      <c r="D47" s="52" t="s">
        <v>23</v>
      </c>
      <c r="E47" s="52" t="s">
        <v>24</v>
      </c>
      <c r="F47" s="52" t="s">
        <v>43</v>
      </c>
      <c r="G47" s="52">
        <v>48935</v>
      </c>
      <c r="H47" s="52">
        <v>69258</v>
      </c>
      <c r="I47" s="52">
        <v>12844</v>
      </c>
      <c r="J47" s="104">
        <v>0</v>
      </c>
      <c r="K47" s="52">
        <v>8314</v>
      </c>
      <c r="L47" s="52">
        <v>6680</v>
      </c>
      <c r="M47" s="52">
        <v>14980</v>
      </c>
      <c r="N47" s="52">
        <v>0</v>
      </c>
      <c r="O47" s="52">
        <v>3334</v>
      </c>
      <c r="P47" s="52">
        <v>4000</v>
      </c>
      <c r="Q47" s="52">
        <v>3125</v>
      </c>
      <c r="R47" s="52">
        <v>2500</v>
      </c>
      <c r="S47" s="52">
        <v>0</v>
      </c>
      <c r="T47" s="52"/>
      <c r="U47" s="20">
        <f t="shared" si="0"/>
        <v>173970</v>
      </c>
    </row>
    <row r="48" spans="1:21" s="63" customFormat="1" ht="12" x14ac:dyDescent="0.35">
      <c r="A48" s="9" t="s">
        <v>21</v>
      </c>
      <c r="B48" s="2">
        <v>46143</v>
      </c>
      <c r="C48" s="1" t="s">
        <v>89</v>
      </c>
      <c r="D48" s="1" t="s">
        <v>32</v>
      </c>
      <c r="E48" s="1" t="s">
        <v>33</v>
      </c>
      <c r="F48" s="1" t="s">
        <v>43</v>
      </c>
      <c r="G48" s="1">
        <v>238310</v>
      </c>
      <c r="H48" s="1">
        <v>52662</v>
      </c>
      <c r="I48" s="1">
        <v>0</v>
      </c>
      <c r="J48" s="3">
        <v>2541</v>
      </c>
      <c r="K48" s="1">
        <v>3516</v>
      </c>
      <c r="L48" s="1">
        <v>2100</v>
      </c>
      <c r="M48" s="1">
        <v>3850</v>
      </c>
      <c r="N48" s="1">
        <v>5000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/>
      <c r="U48" s="20">
        <f t="shared" si="0"/>
        <v>307979</v>
      </c>
    </row>
    <row r="49" spans="1:21" s="62" customFormat="1" x14ac:dyDescent="0.35">
      <c r="A49" s="9" t="s">
        <v>21</v>
      </c>
      <c r="B49" s="2">
        <v>46143</v>
      </c>
      <c r="C49" s="1" t="s">
        <v>34</v>
      </c>
      <c r="D49" s="1" t="s">
        <v>35</v>
      </c>
      <c r="E49" s="1" t="s">
        <v>33</v>
      </c>
      <c r="F49" s="1" t="s">
        <v>43</v>
      </c>
      <c r="G49" s="1">
        <v>3072714</v>
      </c>
      <c r="H49" s="1">
        <v>428252</v>
      </c>
      <c r="I49" s="1">
        <v>0</v>
      </c>
      <c r="J49" s="3">
        <v>65000</v>
      </c>
      <c r="K49" s="1">
        <v>28757</v>
      </c>
      <c r="L49" s="1">
        <v>16140</v>
      </c>
      <c r="M49" s="1">
        <v>34703</v>
      </c>
      <c r="N49" s="1">
        <v>5000</v>
      </c>
      <c r="O49" s="1">
        <v>15000</v>
      </c>
      <c r="P49" s="1">
        <v>0</v>
      </c>
      <c r="Q49" s="1">
        <v>0</v>
      </c>
      <c r="R49" s="1">
        <v>4200</v>
      </c>
      <c r="S49" s="1">
        <v>2400</v>
      </c>
      <c r="T49" s="1" t="s">
        <v>77</v>
      </c>
      <c r="U49" s="20">
        <f t="shared" si="0"/>
        <v>3672166</v>
      </c>
    </row>
    <row r="50" spans="1:21" s="63" customFormat="1" ht="12" x14ac:dyDescent="0.35">
      <c r="A50" s="9" t="s">
        <v>21</v>
      </c>
      <c r="B50" s="2">
        <v>46143</v>
      </c>
      <c r="C50" s="1" t="s">
        <v>134</v>
      </c>
      <c r="D50" s="1" t="s">
        <v>38</v>
      </c>
      <c r="E50" s="1" t="s">
        <v>24</v>
      </c>
      <c r="F50" s="1" t="s">
        <v>43</v>
      </c>
      <c r="G50" s="3">
        <v>171150</v>
      </c>
      <c r="H50" s="3">
        <v>21225.599999999999</v>
      </c>
      <c r="I50" s="1">
        <v>35568</v>
      </c>
      <c r="J50" s="3">
        <v>0</v>
      </c>
      <c r="K50" s="1">
        <v>2408</v>
      </c>
      <c r="L50" s="1">
        <v>1679</v>
      </c>
      <c r="M50" s="1">
        <v>1000</v>
      </c>
      <c r="N50" s="1">
        <v>1000</v>
      </c>
      <c r="O50" s="1">
        <v>2333</v>
      </c>
      <c r="P50" s="1">
        <v>0</v>
      </c>
      <c r="Q50" s="1">
        <v>1000</v>
      </c>
      <c r="R50" s="1">
        <v>1770</v>
      </c>
      <c r="S50" s="1">
        <v>0</v>
      </c>
      <c r="T50" s="1"/>
      <c r="U50" s="20">
        <f t="shared" si="0"/>
        <v>239133.6</v>
      </c>
    </row>
    <row r="51" spans="1:21" s="63" customFormat="1" ht="12" x14ac:dyDescent="0.35">
      <c r="A51" s="9" t="s">
        <v>21</v>
      </c>
      <c r="B51" s="2">
        <v>46143</v>
      </c>
      <c r="C51" s="1" t="s">
        <v>49</v>
      </c>
      <c r="D51" s="1" t="s">
        <v>38</v>
      </c>
      <c r="E51" s="1" t="s">
        <v>24</v>
      </c>
      <c r="F51" s="1" t="s">
        <v>43</v>
      </c>
      <c r="G51" s="3">
        <v>51271</v>
      </c>
      <c r="H51" s="3">
        <v>21225.599999999999</v>
      </c>
      <c r="I51" s="1">
        <v>76076</v>
      </c>
      <c r="J51" s="3"/>
      <c r="K51" s="1"/>
      <c r="L51" s="1"/>
      <c r="M51" s="1"/>
      <c r="N51" s="1"/>
      <c r="O51" s="1"/>
      <c r="P51" s="1"/>
      <c r="Q51" s="1"/>
      <c r="R51" s="1"/>
      <c r="S51" s="1"/>
      <c r="T51" s="1"/>
      <c r="U51" s="20">
        <f t="shared" si="0"/>
        <v>148572.6</v>
      </c>
    </row>
    <row r="52" spans="1:21" s="62" customFormat="1" x14ac:dyDescent="0.35">
      <c r="A52" s="9" t="s">
        <v>21</v>
      </c>
      <c r="B52" s="2">
        <v>46143</v>
      </c>
      <c r="C52" s="1" t="s">
        <v>40</v>
      </c>
      <c r="D52" s="1" t="s">
        <v>38</v>
      </c>
      <c r="E52" s="1" t="s">
        <v>24</v>
      </c>
      <c r="F52" s="1" t="s">
        <v>43</v>
      </c>
      <c r="G52" s="3">
        <v>106371</v>
      </c>
      <c r="H52" s="3">
        <v>21225.599999999999</v>
      </c>
      <c r="I52" s="1">
        <v>0</v>
      </c>
      <c r="J52" s="3">
        <v>0</v>
      </c>
      <c r="K52" s="1">
        <v>3128</v>
      </c>
      <c r="L52" s="1">
        <v>1679</v>
      </c>
      <c r="M52" s="1">
        <v>21200</v>
      </c>
      <c r="N52" s="1">
        <v>1000</v>
      </c>
      <c r="O52" s="1">
        <v>2333</v>
      </c>
      <c r="P52" s="1">
        <v>2777</v>
      </c>
      <c r="Q52" s="1">
        <v>1000</v>
      </c>
      <c r="R52" s="1">
        <v>1770</v>
      </c>
      <c r="S52" s="1">
        <v>0</v>
      </c>
      <c r="T52" s="1"/>
      <c r="U52" s="20">
        <f t="shared" si="0"/>
        <v>162483.6</v>
      </c>
    </row>
    <row r="53" spans="1:21" s="62" customFormat="1" x14ac:dyDescent="0.35">
      <c r="A53" s="9" t="s">
        <v>21</v>
      </c>
      <c r="B53" s="2">
        <v>46143</v>
      </c>
      <c r="C53" s="1" t="s">
        <v>88</v>
      </c>
      <c r="D53" s="1" t="s">
        <v>38</v>
      </c>
      <c r="E53" s="1" t="s">
        <v>24</v>
      </c>
      <c r="F53" s="1" t="s">
        <v>43</v>
      </c>
      <c r="G53" s="1">
        <v>23413</v>
      </c>
      <c r="H53" s="3">
        <v>21225.599999999999</v>
      </c>
      <c r="I53" s="1">
        <v>14820</v>
      </c>
      <c r="J53" s="3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/>
      <c r="U53" s="20">
        <f t="shared" si="0"/>
        <v>59458.6</v>
      </c>
    </row>
    <row r="54" spans="1:21" s="63" customFormat="1" ht="12" x14ac:dyDescent="0.35">
      <c r="A54" s="9" t="s">
        <v>21</v>
      </c>
      <c r="B54" s="2">
        <v>46143</v>
      </c>
      <c r="C54" s="1" t="s">
        <v>41</v>
      </c>
      <c r="D54" s="1" t="s">
        <v>38</v>
      </c>
      <c r="E54" s="1" t="s">
        <v>24</v>
      </c>
      <c r="F54" s="1" t="s">
        <v>43</v>
      </c>
      <c r="G54" s="3">
        <v>67999.680000000008</v>
      </c>
      <c r="H54" s="3">
        <v>21225.599999999999</v>
      </c>
      <c r="I54" s="1">
        <v>0</v>
      </c>
      <c r="J54" s="3">
        <v>0</v>
      </c>
      <c r="K54" s="1">
        <v>2742</v>
      </c>
      <c r="L54" s="1">
        <v>1679</v>
      </c>
      <c r="M54" s="1">
        <v>1000</v>
      </c>
      <c r="N54" s="1">
        <v>1000</v>
      </c>
      <c r="O54" s="1">
        <v>2333</v>
      </c>
      <c r="P54" s="1">
        <v>0</v>
      </c>
      <c r="Q54" s="1">
        <v>1000</v>
      </c>
      <c r="R54" s="1">
        <v>1770</v>
      </c>
      <c r="S54" s="1">
        <v>0</v>
      </c>
      <c r="T54" s="1"/>
      <c r="U54" s="20">
        <f t="shared" si="0"/>
        <v>100749.28</v>
      </c>
    </row>
    <row r="55" spans="1:21" s="62" customFormat="1" x14ac:dyDescent="0.35">
      <c r="A55" s="9" t="s">
        <v>21</v>
      </c>
      <c r="B55" s="2">
        <v>46143</v>
      </c>
      <c r="C55" s="1" t="s">
        <v>78</v>
      </c>
      <c r="D55" s="1" t="s">
        <v>79</v>
      </c>
      <c r="E55" s="1" t="s">
        <v>80</v>
      </c>
      <c r="F55" s="1" t="s">
        <v>43</v>
      </c>
      <c r="G55" s="1">
        <v>242279</v>
      </c>
      <c r="H55" s="1">
        <v>0</v>
      </c>
      <c r="I55" s="1">
        <v>0</v>
      </c>
      <c r="J55" s="3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/>
      <c r="U55" s="20">
        <f t="shared" si="0"/>
        <v>242279</v>
      </c>
    </row>
    <row r="56" spans="1:21" s="62" customFormat="1" x14ac:dyDescent="0.35">
      <c r="A56" s="9" t="s">
        <v>21</v>
      </c>
      <c r="B56" s="2">
        <v>46143</v>
      </c>
      <c r="C56" s="1" t="s">
        <v>34</v>
      </c>
      <c r="D56" s="1" t="s">
        <v>42</v>
      </c>
      <c r="E56" s="1" t="s">
        <v>33</v>
      </c>
      <c r="F56" s="1" t="s">
        <v>25</v>
      </c>
      <c r="G56" s="1">
        <v>14939315</v>
      </c>
      <c r="H56" s="1">
        <v>1381450</v>
      </c>
      <c r="I56" s="1">
        <v>259000</v>
      </c>
      <c r="J56" s="3">
        <v>0</v>
      </c>
      <c r="K56" s="1">
        <v>146542</v>
      </c>
      <c r="L56" s="1">
        <v>100751</v>
      </c>
      <c r="M56" s="1">
        <v>26489</v>
      </c>
      <c r="N56" s="1">
        <v>0</v>
      </c>
      <c r="O56" s="3">
        <v>0</v>
      </c>
      <c r="P56" s="3">
        <v>0</v>
      </c>
      <c r="Q56" s="1">
        <v>0</v>
      </c>
      <c r="R56" s="3">
        <v>0</v>
      </c>
      <c r="S56" s="1">
        <v>0</v>
      </c>
      <c r="T56" s="1"/>
      <c r="U56" s="20">
        <f t="shared" si="0"/>
        <v>16853547</v>
      </c>
    </row>
    <row r="57" spans="1:21" s="62" customFormat="1" x14ac:dyDescent="0.35">
      <c r="A57" s="9" t="s">
        <v>21</v>
      </c>
      <c r="B57" s="2">
        <v>46143</v>
      </c>
      <c r="C57" s="1" t="s">
        <v>34</v>
      </c>
      <c r="D57" s="1" t="s">
        <v>44</v>
      </c>
      <c r="E57" s="1" t="s">
        <v>33</v>
      </c>
      <c r="F57" s="1" t="s">
        <v>25</v>
      </c>
      <c r="G57" s="1">
        <v>2466058</v>
      </c>
      <c r="H57" s="1">
        <v>245652</v>
      </c>
      <c r="I57" s="1">
        <v>65420</v>
      </c>
      <c r="J57" s="3">
        <v>0</v>
      </c>
      <c r="K57" s="3">
        <v>66171</v>
      </c>
      <c r="L57" s="1">
        <v>19710</v>
      </c>
      <c r="M57" s="1">
        <f>19368+12272</f>
        <v>31640</v>
      </c>
      <c r="N57" s="1">
        <v>0</v>
      </c>
      <c r="O57" s="3">
        <v>0</v>
      </c>
      <c r="P57" s="3">
        <v>0</v>
      </c>
      <c r="Q57" s="3">
        <v>0</v>
      </c>
      <c r="R57" s="1">
        <v>0</v>
      </c>
      <c r="S57" s="1">
        <v>0</v>
      </c>
      <c r="T57" s="1"/>
      <c r="U57" s="20">
        <f t="shared" si="0"/>
        <v>2894651</v>
      </c>
    </row>
    <row r="58" spans="1:21" s="62" customFormat="1" x14ac:dyDescent="0.35">
      <c r="A58" s="9" t="s">
        <v>21</v>
      </c>
      <c r="B58" s="2">
        <v>46143</v>
      </c>
      <c r="C58" s="1" t="s">
        <v>45</v>
      </c>
      <c r="D58" s="1" t="s">
        <v>46</v>
      </c>
      <c r="E58" s="1" t="s">
        <v>33</v>
      </c>
      <c r="F58" s="1" t="s">
        <v>25</v>
      </c>
      <c r="G58" s="1">
        <v>117436</v>
      </c>
      <c r="H58" s="1">
        <v>56967</v>
      </c>
      <c r="I58" s="1">
        <v>0</v>
      </c>
      <c r="J58" s="3">
        <v>0</v>
      </c>
      <c r="K58" s="1">
        <v>10610</v>
      </c>
      <c r="L58" s="1">
        <v>2125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/>
      <c r="U58" s="20">
        <f t="shared" si="0"/>
        <v>187138</v>
      </c>
    </row>
    <row r="59" spans="1:21" s="63" customFormat="1" ht="12" x14ac:dyDescent="0.35">
      <c r="A59" s="9" t="s">
        <v>21</v>
      </c>
      <c r="B59" s="2">
        <v>46143</v>
      </c>
      <c r="C59" s="1" t="s">
        <v>30</v>
      </c>
      <c r="D59" s="1" t="s">
        <v>47</v>
      </c>
      <c r="E59" s="1" t="s">
        <v>24</v>
      </c>
      <c r="F59" s="1" t="s">
        <v>48</v>
      </c>
      <c r="G59" s="1">
        <v>34740</v>
      </c>
      <c r="H59" s="3">
        <v>50498</v>
      </c>
      <c r="I59" s="3">
        <v>2964</v>
      </c>
      <c r="J59" s="3">
        <v>6272</v>
      </c>
      <c r="K59" s="1">
        <v>2580</v>
      </c>
      <c r="L59" s="1">
        <v>930</v>
      </c>
      <c r="M59" s="1">
        <v>6540</v>
      </c>
      <c r="N59" s="1">
        <v>0</v>
      </c>
      <c r="O59" s="1">
        <v>0</v>
      </c>
      <c r="P59" s="1">
        <v>0</v>
      </c>
      <c r="Q59" s="1">
        <v>1500</v>
      </c>
      <c r="R59" s="1">
        <v>1302</v>
      </c>
      <c r="S59" s="3">
        <v>0</v>
      </c>
      <c r="T59" s="1"/>
      <c r="U59" s="20">
        <f t="shared" si="0"/>
        <v>107326</v>
      </c>
    </row>
    <row r="60" spans="1:21" s="62" customFormat="1" x14ac:dyDescent="0.35">
      <c r="A60" s="9" t="s">
        <v>21</v>
      </c>
      <c r="B60" s="2">
        <v>46143</v>
      </c>
      <c r="C60" s="1" t="s">
        <v>49</v>
      </c>
      <c r="D60" s="1" t="s">
        <v>47</v>
      </c>
      <c r="E60" s="1" t="s">
        <v>24</v>
      </c>
      <c r="F60" s="1" t="s">
        <v>48</v>
      </c>
      <c r="G60" s="1">
        <v>3232354</v>
      </c>
      <c r="H60" s="3">
        <v>75745</v>
      </c>
      <c r="I60" s="1">
        <v>0</v>
      </c>
      <c r="J60" s="3"/>
      <c r="K60" s="1">
        <v>45473</v>
      </c>
      <c r="L60" s="1"/>
      <c r="M60" s="1"/>
      <c r="N60" s="1"/>
      <c r="O60" s="1"/>
      <c r="P60" s="1">
        <v>10500</v>
      </c>
      <c r="Q60" s="1"/>
      <c r="R60" s="1">
        <v>10353</v>
      </c>
      <c r="S60" s="1">
        <v>375499</v>
      </c>
      <c r="T60" s="1" t="s">
        <v>81</v>
      </c>
      <c r="U60" s="20">
        <f t="shared" si="0"/>
        <v>3749924</v>
      </c>
    </row>
    <row r="61" spans="1:21" s="62" customFormat="1" x14ac:dyDescent="0.35">
      <c r="A61" s="9" t="s">
        <v>21</v>
      </c>
      <c r="B61" s="2">
        <v>46143</v>
      </c>
      <c r="C61" s="1" t="s">
        <v>51</v>
      </c>
      <c r="D61" s="1" t="s">
        <v>47</v>
      </c>
      <c r="E61" s="1" t="s">
        <v>24</v>
      </c>
      <c r="F61" s="1" t="s">
        <v>48</v>
      </c>
      <c r="G61" s="1">
        <v>101954</v>
      </c>
      <c r="H61" s="3">
        <v>56000</v>
      </c>
      <c r="I61" s="1">
        <v>19830</v>
      </c>
      <c r="J61" s="3"/>
      <c r="K61" s="1">
        <v>2772</v>
      </c>
      <c r="L61" s="1">
        <v>913</v>
      </c>
      <c r="M61" s="1">
        <v>6090</v>
      </c>
      <c r="N61" s="1">
        <v>0</v>
      </c>
      <c r="O61" s="1">
        <v>7000</v>
      </c>
      <c r="P61" s="1">
        <v>3168</v>
      </c>
      <c r="Q61" s="1">
        <v>0</v>
      </c>
      <c r="R61" s="1">
        <v>0</v>
      </c>
      <c r="S61" s="3">
        <v>0</v>
      </c>
      <c r="T61" s="1"/>
      <c r="U61" s="20">
        <f t="shared" si="0"/>
        <v>197727</v>
      </c>
    </row>
    <row r="62" spans="1:21" s="62" customFormat="1" x14ac:dyDescent="0.35">
      <c r="A62" s="9" t="s">
        <v>21</v>
      </c>
      <c r="B62" s="2">
        <v>46143</v>
      </c>
      <c r="C62" s="1" t="s">
        <v>52</v>
      </c>
      <c r="D62" s="1" t="s">
        <v>47</v>
      </c>
      <c r="E62" s="1" t="s">
        <v>24</v>
      </c>
      <c r="F62" s="1" t="s">
        <v>48</v>
      </c>
      <c r="G62" s="1">
        <v>196032</v>
      </c>
      <c r="H62" s="3">
        <v>56000</v>
      </c>
      <c r="I62" s="1">
        <v>1003</v>
      </c>
      <c r="J62" s="3"/>
      <c r="K62" s="1">
        <v>6212</v>
      </c>
      <c r="L62" s="1">
        <v>1350</v>
      </c>
      <c r="M62" s="1">
        <v>11155</v>
      </c>
      <c r="N62" s="1">
        <v>0</v>
      </c>
      <c r="O62" s="1">
        <v>7000</v>
      </c>
      <c r="P62" s="1">
        <v>5589</v>
      </c>
      <c r="Q62" s="1">
        <v>0</v>
      </c>
      <c r="R62" s="1">
        <v>0</v>
      </c>
      <c r="S62" s="3">
        <v>0</v>
      </c>
      <c r="T62" s="1"/>
      <c r="U62" s="20">
        <f t="shared" si="0"/>
        <v>284341</v>
      </c>
    </row>
    <row r="63" spans="1:21" s="62" customFormat="1" x14ac:dyDescent="0.35">
      <c r="A63" s="9" t="s">
        <v>21</v>
      </c>
      <c r="B63" s="2">
        <v>46143</v>
      </c>
      <c r="C63" s="1" t="s">
        <v>86</v>
      </c>
      <c r="D63" s="4" t="s">
        <v>85</v>
      </c>
      <c r="E63" s="1" t="s">
        <v>24</v>
      </c>
      <c r="F63" s="4" t="s">
        <v>53</v>
      </c>
      <c r="G63" s="4">
        <v>81379</v>
      </c>
      <c r="H63" s="4">
        <v>0</v>
      </c>
      <c r="I63" s="1">
        <v>13650</v>
      </c>
      <c r="J63" s="11"/>
      <c r="K63" s="4"/>
      <c r="L63" s="1"/>
      <c r="M63" s="1"/>
      <c r="N63" s="1"/>
      <c r="O63" s="1"/>
      <c r="P63" s="1"/>
      <c r="Q63" s="1"/>
      <c r="R63" s="1"/>
      <c r="S63" s="1"/>
      <c r="T63" s="1"/>
      <c r="U63" s="20">
        <f t="shared" si="0"/>
        <v>95029</v>
      </c>
    </row>
    <row r="64" spans="1:21" s="63" customFormat="1" ht="12" x14ac:dyDescent="0.35">
      <c r="A64" s="9" t="s">
        <v>21</v>
      </c>
      <c r="B64" s="2">
        <v>46143</v>
      </c>
      <c r="C64" s="1" t="s">
        <v>89</v>
      </c>
      <c r="D64" s="4" t="s">
        <v>85</v>
      </c>
      <c r="E64" s="1" t="s">
        <v>24</v>
      </c>
      <c r="F64" s="4" t="s">
        <v>53</v>
      </c>
      <c r="G64" s="1">
        <v>487232</v>
      </c>
      <c r="H64" s="1">
        <v>67483</v>
      </c>
      <c r="I64" s="1">
        <v>38160</v>
      </c>
      <c r="J64" s="3">
        <v>46860</v>
      </c>
      <c r="K64" s="3">
        <v>0</v>
      </c>
      <c r="L64" s="1">
        <v>7050</v>
      </c>
      <c r="M64" s="1">
        <v>4500</v>
      </c>
      <c r="N64" s="1">
        <v>7410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/>
      <c r="U64" s="20">
        <f t="shared" si="0"/>
        <v>658695</v>
      </c>
    </row>
    <row r="65" spans="1:21" s="63" customFormat="1" ht="12" x14ac:dyDescent="0.35">
      <c r="A65" s="9" t="s">
        <v>21</v>
      </c>
      <c r="B65" s="2">
        <v>46143</v>
      </c>
      <c r="C65" s="4" t="s">
        <v>30</v>
      </c>
      <c r="D65" s="4" t="s">
        <v>83</v>
      </c>
      <c r="E65" s="4" t="s">
        <v>24</v>
      </c>
      <c r="F65" s="4" t="s">
        <v>53</v>
      </c>
      <c r="G65" s="3">
        <v>111312.5</v>
      </c>
      <c r="H65" s="11">
        <v>66160</v>
      </c>
      <c r="I65" s="3">
        <v>1976</v>
      </c>
      <c r="J65" s="3">
        <v>12770</v>
      </c>
      <c r="K65" s="1">
        <v>2046</v>
      </c>
      <c r="L65" s="1">
        <v>2850</v>
      </c>
      <c r="M65" s="1">
        <v>2599</v>
      </c>
      <c r="N65" s="1">
        <v>5160</v>
      </c>
      <c r="O65" s="3">
        <v>0</v>
      </c>
      <c r="P65" s="12">
        <v>1791</v>
      </c>
      <c r="Q65" s="3">
        <v>1833</v>
      </c>
      <c r="R65" s="3">
        <v>2540</v>
      </c>
      <c r="S65" s="3">
        <v>0</v>
      </c>
      <c r="T65" s="1"/>
      <c r="U65" s="20">
        <f t="shared" si="0"/>
        <v>211037.5</v>
      </c>
    </row>
    <row r="66" spans="1:21" s="62" customFormat="1" x14ac:dyDescent="0.35">
      <c r="A66" s="9" t="s">
        <v>21</v>
      </c>
      <c r="B66" s="2">
        <v>46143</v>
      </c>
      <c r="C66" s="4" t="s">
        <v>55</v>
      </c>
      <c r="D66" s="4" t="s">
        <v>83</v>
      </c>
      <c r="E66" s="4" t="s">
        <v>24</v>
      </c>
      <c r="F66" s="4" t="s">
        <v>53</v>
      </c>
      <c r="G66" s="3">
        <v>111312.5</v>
      </c>
      <c r="H66" s="12">
        <v>33080</v>
      </c>
      <c r="I66" s="1">
        <v>0</v>
      </c>
      <c r="J66" s="3">
        <v>12770</v>
      </c>
      <c r="K66" s="1">
        <v>2530</v>
      </c>
      <c r="L66" s="1">
        <v>2850</v>
      </c>
      <c r="M66" s="1">
        <v>2599</v>
      </c>
      <c r="N66" s="1">
        <v>0</v>
      </c>
      <c r="O66" s="3">
        <v>0</v>
      </c>
      <c r="P66" s="12">
        <v>1791</v>
      </c>
      <c r="Q66" s="3">
        <v>1833</v>
      </c>
      <c r="R66" s="3">
        <v>2540</v>
      </c>
      <c r="S66" s="3">
        <v>0</v>
      </c>
      <c r="T66" s="1"/>
      <c r="U66" s="20">
        <f t="shared" si="0"/>
        <v>171305.5</v>
      </c>
    </row>
    <row r="67" spans="1:21" s="63" customFormat="1" ht="12" x14ac:dyDescent="0.35">
      <c r="A67" s="9" t="s">
        <v>21</v>
      </c>
      <c r="B67" s="2">
        <v>46143</v>
      </c>
      <c r="C67" s="1" t="s">
        <v>56</v>
      </c>
      <c r="D67" s="4" t="s">
        <v>84</v>
      </c>
      <c r="E67" s="4" t="s">
        <v>24</v>
      </c>
      <c r="F67" s="4" t="s">
        <v>53</v>
      </c>
      <c r="G67" s="1">
        <v>1946856</v>
      </c>
      <c r="H67" s="12">
        <v>328823.3</v>
      </c>
      <c r="I67" s="1">
        <v>100760</v>
      </c>
      <c r="J67" s="3">
        <v>132312</v>
      </c>
      <c r="K67" s="1">
        <v>47000</v>
      </c>
      <c r="L67" s="1">
        <v>35550</v>
      </c>
      <c r="M67" s="1">
        <v>122232</v>
      </c>
      <c r="N67" s="1">
        <v>9405</v>
      </c>
      <c r="O67" s="3">
        <v>25500</v>
      </c>
      <c r="P67" s="12">
        <v>16097</v>
      </c>
      <c r="Q67" s="1">
        <v>15000</v>
      </c>
      <c r="R67" s="1">
        <v>8654</v>
      </c>
      <c r="S67" s="1">
        <v>4000</v>
      </c>
      <c r="T67" s="1" t="s">
        <v>82</v>
      </c>
      <c r="U67" s="20">
        <f t="shared" si="0"/>
        <v>2792189.3</v>
      </c>
    </row>
    <row r="68" spans="1:21" s="62" customFormat="1" x14ac:dyDescent="0.35">
      <c r="A68" s="9" t="s">
        <v>21</v>
      </c>
      <c r="B68" s="2">
        <v>46143</v>
      </c>
      <c r="C68" s="4" t="s">
        <v>58</v>
      </c>
      <c r="D68" s="4" t="s">
        <v>84</v>
      </c>
      <c r="E68" s="4" t="s">
        <v>24</v>
      </c>
      <c r="F68" s="4" t="s">
        <v>53</v>
      </c>
      <c r="G68" s="3">
        <v>970169</v>
      </c>
      <c r="H68" s="3">
        <v>66160</v>
      </c>
      <c r="I68" s="1">
        <v>61750</v>
      </c>
      <c r="J68" s="3">
        <v>33078</v>
      </c>
      <c r="K68" s="1">
        <v>31991</v>
      </c>
      <c r="L68" s="1">
        <v>7200</v>
      </c>
      <c r="M68" s="1">
        <v>58823</v>
      </c>
      <c r="N68" s="1">
        <v>0</v>
      </c>
      <c r="O68" s="4">
        <v>0</v>
      </c>
      <c r="P68" s="4">
        <v>0</v>
      </c>
      <c r="Q68" s="1">
        <v>0</v>
      </c>
      <c r="R68" s="1">
        <v>0</v>
      </c>
      <c r="S68" s="1">
        <v>0</v>
      </c>
      <c r="T68" s="1"/>
      <c r="U68" s="20">
        <f t="shared" ref="U68:U131" si="1">SUM(G68:S68)</f>
        <v>1229171</v>
      </c>
    </row>
    <row r="69" spans="1:21" s="62" customFormat="1" x14ac:dyDescent="0.35">
      <c r="A69" s="9" t="s">
        <v>21</v>
      </c>
      <c r="B69" s="2">
        <v>46143</v>
      </c>
      <c r="C69" s="4" t="s">
        <v>59</v>
      </c>
      <c r="D69" s="4" t="s">
        <v>87</v>
      </c>
      <c r="E69" s="4" t="s">
        <v>24</v>
      </c>
      <c r="F69" s="4" t="s">
        <v>53</v>
      </c>
      <c r="G69" s="1">
        <v>37905</v>
      </c>
      <c r="H69" s="11">
        <v>31671</v>
      </c>
      <c r="I69" s="1">
        <v>0</v>
      </c>
      <c r="J69" s="3">
        <v>57000</v>
      </c>
      <c r="K69" s="1">
        <v>3500</v>
      </c>
      <c r="L69" s="1">
        <v>5800</v>
      </c>
      <c r="M69" s="1">
        <v>1073</v>
      </c>
      <c r="N69" s="1">
        <v>0</v>
      </c>
      <c r="O69" s="4">
        <v>3620</v>
      </c>
      <c r="P69" s="11">
        <v>0</v>
      </c>
      <c r="Q69" s="3">
        <v>1600</v>
      </c>
      <c r="R69" s="3">
        <v>2130.6666666666665</v>
      </c>
      <c r="S69" s="3"/>
      <c r="T69" s="1"/>
      <c r="U69" s="20">
        <f t="shared" si="1"/>
        <v>144299.66666666666</v>
      </c>
    </row>
    <row r="70" spans="1:21" s="62" customFormat="1" x14ac:dyDescent="0.35">
      <c r="A70" s="9" t="s">
        <v>21</v>
      </c>
      <c r="B70" s="2">
        <v>46143</v>
      </c>
      <c r="C70" s="4" t="s">
        <v>40</v>
      </c>
      <c r="D70" s="4" t="s">
        <v>87</v>
      </c>
      <c r="E70" s="4" t="s">
        <v>24</v>
      </c>
      <c r="F70" s="4" t="s">
        <v>53</v>
      </c>
      <c r="G70" s="1">
        <v>97215</v>
      </c>
      <c r="H70" s="11">
        <v>31671</v>
      </c>
      <c r="I70" s="1">
        <v>87100</v>
      </c>
      <c r="J70" s="3">
        <v>57000</v>
      </c>
      <c r="K70" s="1">
        <v>2450</v>
      </c>
      <c r="L70" s="1">
        <v>3200</v>
      </c>
      <c r="M70" s="1">
        <v>14314</v>
      </c>
      <c r="N70" s="1">
        <v>5148</v>
      </c>
      <c r="O70" s="4">
        <v>3620</v>
      </c>
      <c r="P70" s="11">
        <v>3109</v>
      </c>
      <c r="Q70" s="3">
        <v>1600</v>
      </c>
      <c r="R70" s="3">
        <v>2130.6666666666665</v>
      </c>
      <c r="S70" s="3"/>
      <c r="T70" s="1"/>
      <c r="U70" s="20">
        <f t="shared" si="1"/>
        <v>308557.66666666669</v>
      </c>
    </row>
    <row r="71" spans="1:21" s="62" customFormat="1" x14ac:dyDescent="0.35">
      <c r="A71" s="9" t="s">
        <v>21</v>
      </c>
      <c r="B71" s="2">
        <v>46143</v>
      </c>
      <c r="C71" s="4" t="s">
        <v>34</v>
      </c>
      <c r="D71" s="4" t="s">
        <v>87</v>
      </c>
      <c r="E71" s="4" t="s">
        <v>24</v>
      </c>
      <c r="F71" s="4" t="s">
        <v>53</v>
      </c>
      <c r="G71" s="3">
        <v>3404489.95</v>
      </c>
      <c r="H71" s="11">
        <v>475013.7</v>
      </c>
      <c r="I71" s="1">
        <v>388700</v>
      </c>
      <c r="J71" s="3">
        <v>57000</v>
      </c>
      <c r="K71" s="1">
        <v>38404</v>
      </c>
      <c r="L71" s="1">
        <v>87700</v>
      </c>
      <c r="M71" s="1">
        <v>19662</v>
      </c>
      <c r="N71" s="1">
        <v>11599</v>
      </c>
      <c r="O71" s="4">
        <v>3620</v>
      </c>
      <c r="P71" s="11">
        <v>11370</v>
      </c>
      <c r="Q71" s="3">
        <v>1600</v>
      </c>
      <c r="R71" s="3">
        <v>2130.6666666666665</v>
      </c>
      <c r="S71" s="3"/>
      <c r="T71" s="1"/>
      <c r="U71" s="20">
        <f t="shared" si="1"/>
        <v>4501289.3166666673</v>
      </c>
    </row>
    <row r="72" spans="1:21" s="62" customFormat="1" x14ac:dyDescent="0.35">
      <c r="A72" s="9" t="s">
        <v>21</v>
      </c>
      <c r="B72" s="2">
        <v>46143</v>
      </c>
      <c r="C72" s="4" t="s">
        <v>34</v>
      </c>
      <c r="D72" s="4" t="s">
        <v>61</v>
      </c>
      <c r="E72" s="4" t="s">
        <v>33</v>
      </c>
      <c r="F72" s="4" t="s">
        <v>53</v>
      </c>
      <c r="G72" s="1">
        <v>2344883</v>
      </c>
      <c r="H72" s="11">
        <v>366350.36</v>
      </c>
      <c r="I72" s="1">
        <v>3500</v>
      </c>
      <c r="J72" s="3">
        <v>60682</v>
      </c>
      <c r="K72" s="1">
        <v>18498</v>
      </c>
      <c r="L72" s="1">
        <v>21546</v>
      </c>
      <c r="M72" s="1">
        <v>10160</v>
      </c>
      <c r="N72" s="1">
        <v>9620</v>
      </c>
      <c r="O72" s="4">
        <v>0</v>
      </c>
      <c r="P72" s="12">
        <v>5328</v>
      </c>
      <c r="Q72" s="1">
        <v>0</v>
      </c>
      <c r="R72" s="1">
        <v>2916</v>
      </c>
      <c r="S72" s="1">
        <v>8630</v>
      </c>
      <c r="T72" s="1" t="s">
        <v>60</v>
      </c>
      <c r="U72" s="20">
        <f t="shared" si="1"/>
        <v>2852113.36</v>
      </c>
    </row>
    <row r="73" spans="1:21" s="62" customFormat="1" x14ac:dyDescent="0.35">
      <c r="A73" s="9" t="s">
        <v>21</v>
      </c>
      <c r="B73" s="2">
        <v>46143</v>
      </c>
      <c r="C73" s="4" t="s">
        <v>34</v>
      </c>
      <c r="D73" s="4" t="s">
        <v>62</v>
      </c>
      <c r="E73" s="4" t="s">
        <v>24</v>
      </c>
      <c r="F73" s="4" t="s">
        <v>53</v>
      </c>
      <c r="G73" s="3">
        <v>4115312.88</v>
      </c>
      <c r="H73" s="11">
        <v>717931.61</v>
      </c>
      <c r="I73" s="1">
        <v>231000</v>
      </c>
      <c r="J73" s="3">
        <v>159116</v>
      </c>
      <c r="K73" s="1">
        <v>56664</v>
      </c>
      <c r="L73" s="1">
        <v>29268</v>
      </c>
      <c r="M73" s="1">
        <v>26550</v>
      </c>
      <c r="N73" s="1">
        <v>10565</v>
      </c>
      <c r="O73" s="1">
        <v>14581</v>
      </c>
      <c r="P73" s="1">
        <v>25200</v>
      </c>
      <c r="Q73" s="1">
        <v>0</v>
      </c>
      <c r="R73" s="1">
        <v>7129</v>
      </c>
      <c r="S73" s="1">
        <v>16100</v>
      </c>
      <c r="T73" s="1" t="s">
        <v>60</v>
      </c>
      <c r="U73" s="20">
        <f t="shared" si="1"/>
        <v>5409417.4900000002</v>
      </c>
    </row>
    <row r="74" spans="1:21" s="62" customFormat="1" x14ac:dyDescent="0.35">
      <c r="A74" s="9" t="s">
        <v>21</v>
      </c>
      <c r="B74" s="2">
        <v>46143</v>
      </c>
      <c r="C74" s="1" t="s">
        <v>63</v>
      </c>
      <c r="D74" s="1" t="s">
        <v>64</v>
      </c>
      <c r="E74" s="1" t="s">
        <v>33</v>
      </c>
      <c r="F74" s="1" t="s">
        <v>65</v>
      </c>
      <c r="G74" s="3">
        <v>76024</v>
      </c>
      <c r="H74" s="3">
        <v>169545</v>
      </c>
      <c r="I74" s="3">
        <v>0</v>
      </c>
      <c r="J74" s="3">
        <v>13386</v>
      </c>
      <c r="K74" s="3">
        <v>0</v>
      </c>
      <c r="L74" s="1"/>
      <c r="M74" s="1"/>
      <c r="N74" s="1"/>
      <c r="O74" s="1"/>
      <c r="P74" s="1"/>
      <c r="Q74" s="1"/>
      <c r="R74" s="1"/>
      <c r="S74" s="21">
        <v>9500</v>
      </c>
      <c r="T74" s="1"/>
      <c r="U74" s="20">
        <f t="shared" si="1"/>
        <v>268455</v>
      </c>
    </row>
    <row r="75" spans="1:21" s="63" customFormat="1" ht="12" x14ac:dyDescent="0.35">
      <c r="A75" s="9" t="s">
        <v>21</v>
      </c>
      <c r="B75" s="2">
        <v>46143</v>
      </c>
      <c r="C75" s="1" t="s">
        <v>89</v>
      </c>
      <c r="D75" s="1" t="s">
        <v>66</v>
      </c>
      <c r="E75" s="1" t="s">
        <v>33</v>
      </c>
      <c r="F75" s="1" t="s">
        <v>65</v>
      </c>
      <c r="G75" s="3">
        <v>271547</v>
      </c>
      <c r="H75" s="3">
        <v>66801</v>
      </c>
      <c r="I75" s="1">
        <v>0</v>
      </c>
      <c r="J75" s="3">
        <v>3668</v>
      </c>
      <c r="K75" s="3">
        <v>5900</v>
      </c>
      <c r="L75" s="3">
        <v>2400</v>
      </c>
      <c r="M75" s="3">
        <v>1168</v>
      </c>
      <c r="N75" s="3">
        <v>6020</v>
      </c>
      <c r="O75" s="1">
        <v>0</v>
      </c>
      <c r="P75" s="1">
        <v>0</v>
      </c>
      <c r="Q75" s="1">
        <v>777</v>
      </c>
      <c r="R75" s="1">
        <v>0</v>
      </c>
      <c r="S75" s="1">
        <v>0</v>
      </c>
      <c r="T75" s="1"/>
      <c r="U75" s="20">
        <f t="shared" si="1"/>
        <v>358281</v>
      </c>
    </row>
    <row r="76" spans="1:21" s="63" customFormat="1" ht="12" x14ac:dyDescent="0.35">
      <c r="A76" s="9" t="s">
        <v>21</v>
      </c>
      <c r="B76" s="2">
        <v>46143</v>
      </c>
      <c r="C76" s="1" t="s">
        <v>67</v>
      </c>
      <c r="D76" s="1" t="s">
        <v>68</v>
      </c>
      <c r="E76" s="1" t="s">
        <v>24</v>
      </c>
      <c r="F76" s="1" t="s">
        <v>65</v>
      </c>
      <c r="G76" s="3">
        <v>242217</v>
      </c>
      <c r="H76" s="3">
        <v>15855</v>
      </c>
      <c r="I76" s="1">
        <v>0</v>
      </c>
      <c r="J76" s="3">
        <v>27131.4</v>
      </c>
      <c r="K76" s="1">
        <v>0</v>
      </c>
      <c r="L76" s="3">
        <v>0</v>
      </c>
      <c r="M76" s="1">
        <v>0</v>
      </c>
      <c r="N76" s="1">
        <v>0</v>
      </c>
      <c r="O76" s="1">
        <v>0</v>
      </c>
      <c r="P76" s="1">
        <v>0</v>
      </c>
      <c r="Q76" s="1"/>
      <c r="R76" s="1">
        <v>0</v>
      </c>
      <c r="S76" s="1"/>
      <c r="T76" s="1"/>
      <c r="U76" s="20">
        <f t="shared" si="1"/>
        <v>285203.40000000002</v>
      </c>
    </row>
    <row r="77" spans="1:21" s="62" customFormat="1" x14ac:dyDescent="0.35">
      <c r="A77" s="9" t="s">
        <v>21</v>
      </c>
      <c r="B77" s="2">
        <v>46143</v>
      </c>
      <c r="C77" s="1" t="s">
        <v>69</v>
      </c>
      <c r="D77" s="1" t="s">
        <v>68</v>
      </c>
      <c r="E77" s="1" t="s">
        <v>24</v>
      </c>
      <c r="F77" s="1" t="s">
        <v>65</v>
      </c>
      <c r="G77" s="1">
        <v>0</v>
      </c>
      <c r="H77" s="3">
        <v>15855</v>
      </c>
      <c r="I77" s="1">
        <v>0</v>
      </c>
      <c r="J77" s="3">
        <v>27131.4</v>
      </c>
      <c r="K77" s="1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1"/>
      <c r="U77" s="20">
        <f t="shared" si="1"/>
        <v>42986.400000000001</v>
      </c>
    </row>
    <row r="78" spans="1:21" s="63" customFormat="1" ht="12" x14ac:dyDescent="0.35">
      <c r="A78" s="9" t="s">
        <v>21</v>
      </c>
      <c r="B78" s="2">
        <v>46143</v>
      </c>
      <c r="C78" s="1" t="s">
        <v>86</v>
      </c>
      <c r="D78" s="1" t="s">
        <v>68</v>
      </c>
      <c r="E78" s="1" t="s">
        <v>24</v>
      </c>
      <c r="F78" s="1" t="s">
        <v>65</v>
      </c>
      <c r="G78" s="3">
        <v>213070</v>
      </c>
      <c r="H78" s="3">
        <v>47564</v>
      </c>
      <c r="I78" s="1">
        <v>0</v>
      </c>
      <c r="J78" s="3">
        <v>27131.4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1"/>
      <c r="U78" s="20">
        <f t="shared" si="1"/>
        <v>287765.40000000002</v>
      </c>
    </row>
    <row r="79" spans="1:21" s="62" customFormat="1" x14ac:dyDescent="0.35">
      <c r="A79" s="9" t="s">
        <v>21</v>
      </c>
      <c r="B79" s="2">
        <v>46143</v>
      </c>
      <c r="C79" s="1" t="s">
        <v>70</v>
      </c>
      <c r="D79" s="1" t="s">
        <v>68</v>
      </c>
      <c r="E79" s="1" t="s">
        <v>24</v>
      </c>
      <c r="F79" s="1" t="s">
        <v>65</v>
      </c>
      <c r="G79" s="1">
        <v>0</v>
      </c>
      <c r="H79" s="3">
        <v>0</v>
      </c>
      <c r="I79" s="1">
        <v>0</v>
      </c>
      <c r="J79" s="3">
        <v>27131.4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1"/>
      <c r="U79" s="20">
        <f t="shared" si="1"/>
        <v>27131.4</v>
      </c>
    </row>
    <row r="80" spans="1:21" s="62" customFormat="1" x14ac:dyDescent="0.35">
      <c r="A80" s="9" t="s">
        <v>21</v>
      </c>
      <c r="B80" s="2">
        <v>46143</v>
      </c>
      <c r="C80" s="1" t="s">
        <v>40</v>
      </c>
      <c r="D80" s="1" t="s">
        <v>68</v>
      </c>
      <c r="E80" s="1" t="s">
        <v>24</v>
      </c>
      <c r="F80" s="1" t="s">
        <v>65</v>
      </c>
      <c r="G80" s="3">
        <v>52424</v>
      </c>
      <c r="H80" s="3">
        <v>15855</v>
      </c>
      <c r="I80" s="1">
        <v>0</v>
      </c>
      <c r="J80" s="3">
        <v>27131.4</v>
      </c>
      <c r="K80" s="3">
        <v>2600</v>
      </c>
      <c r="L80" s="1">
        <v>675</v>
      </c>
      <c r="M80" s="1">
        <v>0</v>
      </c>
      <c r="N80" s="21">
        <v>10839</v>
      </c>
      <c r="O80" s="21">
        <v>12989</v>
      </c>
      <c r="P80" s="1">
        <v>0</v>
      </c>
      <c r="Q80" s="1">
        <v>589</v>
      </c>
      <c r="R80" s="1">
        <v>0</v>
      </c>
      <c r="S80" s="1">
        <v>0</v>
      </c>
      <c r="T80" s="1"/>
      <c r="U80" s="20">
        <f t="shared" si="1"/>
        <v>123102.39999999999</v>
      </c>
    </row>
    <row r="81" spans="1:21" s="62" customFormat="1" x14ac:dyDescent="0.35">
      <c r="A81" s="9" t="s">
        <v>21</v>
      </c>
      <c r="B81" s="2">
        <v>46143</v>
      </c>
      <c r="C81" s="1" t="s">
        <v>71</v>
      </c>
      <c r="D81" s="1" t="s">
        <v>72</v>
      </c>
      <c r="E81" s="1" t="s">
        <v>33</v>
      </c>
      <c r="F81" s="1" t="s">
        <v>65</v>
      </c>
      <c r="G81" s="3">
        <v>2966093</v>
      </c>
      <c r="H81" s="3">
        <v>478200</v>
      </c>
      <c r="I81" s="1">
        <v>0</v>
      </c>
      <c r="J81" s="3">
        <v>210569</v>
      </c>
      <c r="K81" s="3">
        <v>0</v>
      </c>
      <c r="L81" s="3">
        <v>12060</v>
      </c>
      <c r="M81" s="3">
        <v>9375</v>
      </c>
      <c r="N81" s="3">
        <v>21781</v>
      </c>
      <c r="O81" s="3">
        <v>8852</v>
      </c>
      <c r="P81" s="1">
        <v>0</v>
      </c>
      <c r="Q81" s="1">
        <v>0</v>
      </c>
      <c r="R81" s="21">
        <v>9584</v>
      </c>
      <c r="S81" s="21">
        <v>291459</v>
      </c>
      <c r="T81" s="1"/>
      <c r="U81" s="20">
        <f t="shared" si="1"/>
        <v>4007973</v>
      </c>
    </row>
    <row r="82" spans="1:21" s="63" customFormat="1" ht="12" x14ac:dyDescent="0.35">
      <c r="A82" s="9" t="s">
        <v>21</v>
      </c>
      <c r="B82" s="2">
        <v>46143</v>
      </c>
      <c r="C82" s="1" t="s">
        <v>73</v>
      </c>
      <c r="D82" s="1" t="s">
        <v>74</v>
      </c>
      <c r="E82" s="1" t="s">
        <v>33</v>
      </c>
      <c r="F82" s="1" t="s">
        <v>65</v>
      </c>
      <c r="G82" s="3">
        <v>1090864</v>
      </c>
      <c r="H82" s="1">
        <v>0</v>
      </c>
      <c r="I82" s="1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79236.149999999994</v>
      </c>
      <c r="T82" s="1"/>
      <c r="U82" s="20">
        <f t="shared" si="1"/>
        <v>1170100.1499999999</v>
      </c>
    </row>
    <row r="83" spans="1:21" s="28" customFormat="1" ht="12.5" thickBot="1" x14ac:dyDescent="0.4">
      <c r="A83" s="16" t="s">
        <v>21</v>
      </c>
      <c r="B83" s="17">
        <v>46143</v>
      </c>
      <c r="C83" s="18" t="s">
        <v>89</v>
      </c>
      <c r="D83" s="18" t="s">
        <v>75</v>
      </c>
      <c r="E83" s="18" t="s">
        <v>33</v>
      </c>
      <c r="F83" s="18" t="s">
        <v>65</v>
      </c>
      <c r="G83" s="10">
        <v>489522</v>
      </c>
      <c r="H83" s="10">
        <v>69561</v>
      </c>
      <c r="I83" s="10">
        <v>105099</v>
      </c>
      <c r="J83" s="10">
        <v>17967</v>
      </c>
      <c r="K83" s="10">
        <v>7410</v>
      </c>
      <c r="L83" s="10">
        <v>2732</v>
      </c>
      <c r="M83" s="10">
        <v>5814</v>
      </c>
      <c r="N83" s="10">
        <v>5153</v>
      </c>
      <c r="O83" s="10">
        <v>0</v>
      </c>
      <c r="P83" s="10">
        <v>0</v>
      </c>
      <c r="Q83" s="10">
        <v>1400</v>
      </c>
      <c r="R83" s="10">
        <v>0</v>
      </c>
      <c r="S83" s="10">
        <v>0</v>
      </c>
      <c r="T83" s="18"/>
      <c r="U83" s="27">
        <f t="shared" si="1"/>
        <v>704658</v>
      </c>
    </row>
    <row r="84" spans="1:21" s="26" customFormat="1" x14ac:dyDescent="0.35">
      <c r="A84" s="5" t="s">
        <v>21</v>
      </c>
      <c r="B84" s="6">
        <v>46174</v>
      </c>
      <c r="C84" s="7" t="s">
        <v>86</v>
      </c>
      <c r="D84" s="29" t="s">
        <v>85</v>
      </c>
      <c r="E84" s="7" t="s">
        <v>24</v>
      </c>
      <c r="F84" s="29" t="s">
        <v>53</v>
      </c>
      <c r="G84" s="29">
        <v>73711</v>
      </c>
      <c r="H84" s="66">
        <v>0</v>
      </c>
      <c r="I84" s="7">
        <v>31850</v>
      </c>
      <c r="J84" s="66"/>
      <c r="K84" s="29"/>
      <c r="L84" s="7"/>
      <c r="M84" s="7"/>
      <c r="N84" s="7"/>
      <c r="O84" s="7"/>
      <c r="P84" s="7"/>
      <c r="Q84" s="7"/>
      <c r="R84" s="7"/>
      <c r="S84" s="7"/>
      <c r="T84" s="7"/>
      <c r="U84" s="25">
        <f t="shared" si="1"/>
        <v>105561</v>
      </c>
    </row>
    <row r="85" spans="1:21" s="62" customFormat="1" x14ac:dyDescent="0.35">
      <c r="A85" s="9" t="s">
        <v>21</v>
      </c>
      <c r="B85" s="2">
        <v>46174</v>
      </c>
      <c r="C85" s="1" t="s">
        <v>89</v>
      </c>
      <c r="D85" s="4" t="s">
        <v>85</v>
      </c>
      <c r="E85" s="1" t="s">
        <v>24</v>
      </c>
      <c r="F85" s="4" t="s">
        <v>53</v>
      </c>
      <c r="G85" s="1">
        <v>623631</v>
      </c>
      <c r="H85" s="11">
        <v>67483</v>
      </c>
      <c r="I85" s="1">
        <v>0</v>
      </c>
      <c r="J85" s="3">
        <v>50750</v>
      </c>
      <c r="K85" s="3"/>
      <c r="L85" s="1">
        <v>7350</v>
      </c>
      <c r="M85" s="1">
        <v>5103</v>
      </c>
      <c r="N85" s="1">
        <v>8815</v>
      </c>
      <c r="O85" s="1">
        <v>0</v>
      </c>
      <c r="P85" s="1"/>
      <c r="Q85" s="1"/>
      <c r="R85" s="1"/>
      <c r="S85" s="1"/>
      <c r="T85" s="1"/>
      <c r="U85" s="20">
        <f t="shared" si="1"/>
        <v>763132</v>
      </c>
    </row>
    <row r="86" spans="1:21" s="62" customFormat="1" x14ac:dyDescent="0.35">
      <c r="A86" s="9" t="s">
        <v>21</v>
      </c>
      <c r="B86" s="2">
        <v>46174</v>
      </c>
      <c r="C86" s="4" t="s">
        <v>30</v>
      </c>
      <c r="D86" s="4" t="s">
        <v>83</v>
      </c>
      <c r="E86" s="4" t="s">
        <v>24</v>
      </c>
      <c r="F86" s="4" t="s">
        <v>53</v>
      </c>
      <c r="G86" s="3">
        <v>110077</v>
      </c>
      <c r="H86" s="11">
        <v>66160</v>
      </c>
      <c r="I86" s="3">
        <v>0</v>
      </c>
      <c r="J86" s="3">
        <v>14320</v>
      </c>
      <c r="K86" s="1">
        <v>2360</v>
      </c>
      <c r="L86" s="1">
        <v>2677</v>
      </c>
      <c r="M86" s="1">
        <v>1687</v>
      </c>
      <c r="N86" s="1">
        <v>3310</v>
      </c>
      <c r="O86" s="3">
        <v>0</v>
      </c>
      <c r="P86" s="12">
        <v>1250</v>
      </c>
      <c r="Q86" s="3"/>
      <c r="R86" s="3">
        <v>2539</v>
      </c>
      <c r="S86" s="3">
        <v>400</v>
      </c>
      <c r="T86" s="1" t="s">
        <v>124</v>
      </c>
      <c r="U86" s="20">
        <f t="shared" si="1"/>
        <v>204780</v>
      </c>
    </row>
    <row r="87" spans="1:21" s="62" customFormat="1" x14ac:dyDescent="0.35">
      <c r="A87" s="9" t="s">
        <v>21</v>
      </c>
      <c r="B87" s="2">
        <v>46174</v>
      </c>
      <c r="C87" s="4" t="s">
        <v>55</v>
      </c>
      <c r="D87" s="4" t="s">
        <v>83</v>
      </c>
      <c r="E87" s="4" t="s">
        <v>24</v>
      </c>
      <c r="F87" s="4" t="s">
        <v>53</v>
      </c>
      <c r="G87" s="3">
        <v>110077</v>
      </c>
      <c r="H87" s="11">
        <v>33080</v>
      </c>
      <c r="I87" s="1">
        <v>0</v>
      </c>
      <c r="J87" s="3">
        <v>14320</v>
      </c>
      <c r="K87" s="1">
        <v>2720</v>
      </c>
      <c r="L87" s="1">
        <v>2677</v>
      </c>
      <c r="M87" s="1">
        <v>1687</v>
      </c>
      <c r="N87" s="1">
        <v>0</v>
      </c>
      <c r="O87" s="3">
        <v>0</v>
      </c>
      <c r="P87" s="12">
        <v>1250</v>
      </c>
      <c r="Q87" s="3"/>
      <c r="R87" s="3">
        <v>2539</v>
      </c>
      <c r="S87" s="3"/>
      <c r="T87" s="1"/>
      <c r="U87" s="20">
        <f t="shared" si="1"/>
        <v>168350</v>
      </c>
    </row>
    <row r="88" spans="1:21" s="62" customFormat="1" x14ac:dyDescent="0.35">
      <c r="A88" s="9" t="s">
        <v>21</v>
      </c>
      <c r="B88" s="2">
        <v>46174</v>
      </c>
      <c r="C88" s="1" t="s">
        <v>56</v>
      </c>
      <c r="D88" s="4" t="s">
        <v>84</v>
      </c>
      <c r="E88" s="4" t="s">
        <v>24</v>
      </c>
      <c r="F88" s="4" t="s">
        <v>53</v>
      </c>
      <c r="G88" s="11">
        <v>2551769</v>
      </c>
      <c r="H88" s="11">
        <v>360501</v>
      </c>
      <c r="I88" s="1">
        <v>280990</v>
      </c>
      <c r="J88" s="3">
        <v>165320</v>
      </c>
      <c r="K88" s="1">
        <v>78925</v>
      </c>
      <c r="L88" s="1">
        <v>41900</v>
      </c>
      <c r="M88" s="1">
        <v>67583</v>
      </c>
      <c r="N88" s="1">
        <v>13070</v>
      </c>
      <c r="O88" s="3">
        <v>0</v>
      </c>
      <c r="P88" s="12">
        <v>17070</v>
      </c>
      <c r="Q88" s="1"/>
      <c r="R88" s="1">
        <v>8654</v>
      </c>
      <c r="S88" s="1"/>
      <c r="T88" s="1"/>
      <c r="U88" s="20">
        <f t="shared" si="1"/>
        <v>3585782</v>
      </c>
    </row>
    <row r="89" spans="1:21" s="62" customFormat="1" x14ac:dyDescent="0.35">
      <c r="A89" s="9" t="s">
        <v>21</v>
      </c>
      <c r="B89" s="2">
        <v>46174</v>
      </c>
      <c r="C89" s="4" t="s">
        <v>58</v>
      </c>
      <c r="D89" s="4" t="s">
        <v>84</v>
      </c>
      <c r="E89" s="4" t="s">
        <v>24</v>
      </c>
      <c r="F89" s="4" t="s">
        <v>53</v>
      </c>
      <c r="G89" s="3">
        <v>977637</v>
      </c>
      <c r="H89" s="11">
        <v>72100</v>
      </c>
      <c r="I89" s="1">
        <v>8450</v>
      </c>
      <c r="J89" s="3">
        <v>41330</v>
      </c>
      <c r="K89" s="1">
        <v>35490</v>
      </c>
      <c r="L89" s="1">
        <v>7150</v>
      </c>
      <c r="M89" s="1"/>
      <c r="N89" s="1">
        <v>0</v>
      </c>
      <c r="O89" s="4"/>
      <c r="P89" s="4"/>
      <c r="Q89" s="1"/>
      <c r="R89" s="1"/>
      <c r="S89" s="1"/>
      <c r="T89" s="1"/>
      <c r="U89" s="20">
        <f t="shared" si="1"/>
        <v>1142157</v>
      </c>
    </row>
    <row r="90" spans="1:21" s="62" customFormat="1" x14ac:dyDescent="0.35">
      <c r="A90" s="9" t="s">
        <v>21</v>
      </c>
      <c r="B90" s="2">
        <v>46174</v>
      </c>
      <c r="C90" s="4" t="s">
        <v>59</v>
      </c>
      <c r="D90" s="4" t="s">
        <v>87</v>
      </c>
      <c r="E90" s="4" t="s">
        <v>24</v>
      </c>
      <c r="F90" s="4" t="s">
        <v>53</v>
      </c>
      <c r="G90" s="1">
        <v>32963</v>
      </c>
      <c r="H90" s="11">
        <v>31657</v>
      </c>
      <c r="I90" s="1">
        <v>0</v>
      </c>
      <c r="J90" s="3">
        <v>30000</v>
      </c>
      <c r="K90" s="1">
        <v>4000</v>
      </c>
      <c r="L90" s="1">
        <v>5800</v>
      </c>
      <c r="M90" s="1">
        <v>717</v>
      </c>
      <c r="N90" s="1">
        <v>0</v>
      </c>
      <c r="O90" s="4"/>
      <c r="P90" s="11"/>
      <c r="Q90" s="3"/>
      <c r="R90" s="3">
        <v>84000</v>
      </c>
      <c r="S90" s="3"/>
      <c r="T90" s="1"/>
      <c r="U90" s="20">
        <f t="shared" si="1"/>
        <v>189137</v>
      </c>
    </row>
    <row r="91" spans="1:21" s="62" customFormat="1" x14ac:dyDescent="0.35">
      <c r="A91" s="9" t="s">
        <v>21</v>
      </c>
      <c r="B91" s="2">
        <v>46174</v>
      </c>
      <c r="C91" s="4" t="s">
        <v>40</v>
      </c>
      <c r="D91" s="4" t="s">
        <v>87</v>
      </c>
      <c r="E91" s="4" t="s">
        <v>24</v>
      </c>
      <c r="F91" s="4" t="s">
        <v>53</v>
      </c>
      <c r="G91" s="1">
        <v>119959</v>
      </c>
      <c r="H91" s="11">
        <v>31675</v>
      </c>
      <c r="I91" s="1">
        <v>59507</v>
      </c>
      <c r="J91" s="3">
        <v>26000</v>
      </c>
      <c r="K91" s="1">
        <v>2800</v>
      </c>
      <c r="L91" s="1">
        <v>3200</v>
      </c>
      <c r="M91" s="1">
        <v>37814</v>
      </c>
      <c r="N91" s="1">
        <v>0</v>
      </c>
      <c r="O91" s="4">
        <v>2638</v>
      </c>
      <c r="P91" s="11">
        <v>4008</v>
      </c>
      <c r="Q91" s="3"/>
      <c r="R91" s="3"/>
      <c r="S91" s="3"/>
      <c r="T91" s="1"/>
      <c r="U91" s="20">
        <f t="shared" si="1"/>
        <v>287601</v>
      </c>
    </row>
    <row r="92" spans="1:21" s="62" customFormat="1" x14ac:dyDescent="0.35">
      <c r="A92" s="9" t="s">
        <v>21</v>
      </c>
      <c r="B92" s="2">
        <v>46174</v>
      </c>
      <c r="C92" s="4" t="s">
        <v>34</v>
      </c>
      <c r="D92" s="4" t="s">
        <v>87</v>
      </c>
      <c r="E92" s="4" t="s">
        <v>24</v>
      </c>
      <c r="F92" s="4" t="s">
        <v>53</v>
      </c>
      <c r="G92" s="3">
        <v>3931348.5</v>
      </c>
      <c r="H92" s="11">
        <v>474859</v>
      </c>
      <c r="I92" s="1">
        <v>296050</v>
      </c>
      <c r="J92" s="3">
        <v>126310</v>
      </c>
      <c r="K92" s="1">
        <v>36320</v>
      </c>
      <c r="L92" s="1"/>
      <c r="M92" s="1"/>
      <c r="N92" s="1"/>
      <c r="O92" s="4">
        <v>4000</v>
      </c>
      <c r="P92" s="11"/>
      <c r="Q92" s="3"/>
      <c r="R92" s="3"/>
      <c r="S92" s="3"/>
      <c r="T92" s="1"/>
      <c r="U92" s="20">
        <f t="shared" si="1"/>
        <v>4868887.5</v>
      </c>
    </row>
    <row r="93" spans="1:21" s="62" customFormat="1" x14ac:dyDescent="0.35">
      <c r="A93" s="9" t="s">
        <v>21</v>
      </c>
      <c r="B93" s="2">
        <v>46174</v>
      </c>
      <c r="C93" s="4" t="s">
        <v>34</v>
      </c>
      <c r="D93" s="4" t="s">
        <v>61</v>
      </c>
      <c r="E93" s="4" t="s">
        <v>33</v>
      </c>
      <c r="F93" s="4" t="s">
        <v>53</v>
      </c>
      <c r="G93" s="1">
        <v>3788667</v>
      </c>
      <c r="H93" s="11">
        <v>349469.67</v>
      </c>
      <c r="I93" s="1">
        <v>5600</v>
      </c>
      <c r="J93" s="3"/>
      <c r="K93" s="1"/>
      <c r="L93" s="1"/>
      <c r="M93" s="1"/>
      <c r="N93" s="1"/>
      <c r="O93" s="4"/>
      <c r="P93" s="12"/>
      <c r="Q93" s="1"/>
      <c r="R93" s="1"/>
      <c r="S93" s="1"/>
      <c r="T93" s="1"/>
      <c r="U93" s="20">
        <f t="shared" si="1"/>
        <v>4143736.67</v>
      </c>
    </row>
    <row r="94" spans="1:21" s="62" customFormat="1" x14ac:dyDescent="0.35">
      <c r="A94" s="9" t="s">
        <v>21</v>
      </c>
      <c r="B94" s="2">
        <v>46174</v>
      </c>
      <c r="C94" s="4" t="s">
        <v>34</v>
      </c>
      <c r="D94" s="4" t="s">
        <v>62</v>
      </c>
      <c r="E94" s="4" t="s">
        <v>24</v>
      </c>
      <c r="F94" s="4" t="s">
        <v>53</v>
      </c>
      <c r="G94" s="1">
        <v>2485959</v>
      </c>
      <c r="H94" s="11">
        <v>683593.2</v>
      </c>
      <c r="I94" s="1">
        <v>10500</v>
      </c>
      <c r="J94" s="3"/>
      <c r="K94" s="1"/>
      <c r="L94" s="1"/>
      <c r="M94" s="1"/>
      <c r="N94" s="1"/>
      <c r="O94" s="1"/>
      <c r="P94" s="1"/>
      <c r="Q94" s="1"/>
      <c r="R94" s="1"/>
      <c r="S94" s="1"/>
      <c r="T94" s="1"/>
      <c r="U94" s="20">
        <f t="shared" si="1"/>
        <v>3180052.2</v>
      </c>
    </row>
    <row r="95" spans="1:21" s="62" customFormat="1" x14ac:dyDescent="0.35">
      <c r="A95" s="9" t="s">
        <v>21</v>
      </c>
      <c r="B95" s="2">
        <v>46174</v>
      </c>
      <c r="C95" s="1" t="s">
        <v>63</v>
      </c>
      <c r="D95" s="1" t="s">
        <v>64</v>
      </c>
      <c r="E95" s="1" t="s">
        <v>33</v>
      </c>
      <c r="F95" s="1" t="s">
        <v>65</v>
      </c>
      <c r="G95" s="3">
        <v>74696</v>
      </c>
      <c r="H95" s="3">
        <v>123760</v>
      </c>
      <c r="I95" s="3">
        <v>0</v>
      </c>
      <c r="J95" s="3">
        <v>14961</v>
      </c>
      <c r="K95" s="19"/>
      <c r="L95" s="19"/>
      <c r="M95" s="21">
        <v>16638</v>
      </c>
      <c r="N95" s="19"/>
      <c r="O95" s="19"/>
      <c r="P95" s="19"/>
      <c r="Q95" s="19"/>
      <c r="R95" s="19"/>
      <c r="S95" s="21">
        <v>4955</v>
      </c>
      <c r="T95" s="19"/>
      <c r="U95" s="20">
        <f t="shared" si="1"/>
        <v>235010</v>
      </c>
    </row>
    <row r="96" spans="1:21" s="62" customFormat="1" x14ac:dyDescent="0.35">
      <c r="A96" s="9" t="s">
        <v>21</v>
      </c>
      <c r="B96" s="2">
        <v>46174</v>
      </c>
      <c r="C96" s="1" t="s">
        <v>89</v>
      </c>
      <c r="D96" s="1" t="s">
        <v>66</v>
      </c>
      <c r="E96" s="1" t="s">
        <v>33</v>
      </c>
      <c r="F96" s="1" t="s">
        <v>65</v>
      </c>
      <c r="G96" s="3">
        <v>282774</v>
      </c>
      <c r="H96" s="3"/>
      <c r="I96" s="1">
        <v>0</v>
      </c>
      <c r="J96" s="3">
        <v>4465</v>
      </c>
      <c r="K96" s="21">
        <v>6271</v>
      </c>
      <c r="L96" s="21">
        <v>1800</v>
      </c>
      <c r="M96" s="21">
        <v>2632</v>
      </c>
      <c r="N96" s="21">
        <v>13111</v>
      </c>
      <c r="O96" s="19"/>
      <c r="P96" s="19"/>
      <c r="Q96" s="1">
        <v>777</v>
      </c>
      <c r="R96" s="19"/>
      <c r="S96" s="21">
        <v>1700</v>
      </c>
      <c r="T96" s="19"/>
      <c r="U96" s="20">
        <f t="shared" si="1"/>
        <v>313530</v>
      </c>
    </row>
    <row r="97" spans="1:21" s="62" customFormat="1" x14ac:dyDescent="0.35">
      <c r="A97" s="9" t="s">
        <v>21</v>
      </c>
      <c r="B97" s="2">
        <v>46174</v>
      </c>
      <c r="C97" s="1" t="s">
        <v>67</v>
      </c>
      <c r="D97" s="1" t="s">
        <v>68</v>
      </c>
      <c r="E97" s="1" t="s">
        <v>24</v>
      </c>
      <c r="F97" s="1" t="s">
        <v>65</v>
      </c>
      <c r="G97" s="3">
        <v>253592</v>
      </c>
      <c r="H97" s="3">
        <v>15855</v>
      </c>
      <c r="I97" s="1">
        <v>0</v>
      </c>
      <c r="J97" s="3">
        <v>46718.25</v>
      </c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20">
        <f t="shared" si="1"/>
        <v>316165.25</v>
      </c>
    </row>
    <row r="98" spans="1:21" s="62" customFormat="1" x14ac:dyDescent="0.35">
      <c r="A98" s="9" t="s">
        <v>21</v>
      </c>
      <c r="B98" s="2">
        <v>46174</v>
      </c>
      <c r="C98" s="1" t="s">
        <v>69</v>
      </c>
      <c r="D98" s="1" t="s">
        <v>68</v>
      </c>
      <c r="E98" s="1" t="s">
        <v>24</v>
      </c>
      <c r="F98" s="1" t="s">
        <v>65</v>
      </c>
      <c r="G98" s="1">
        <v>0</v>
      </c>
      <c r="H98" s="3">
        <v>15855</v>
      </c>
      <c r="I98" s="1">
        <v>0</v>
      </c>
      <c r="J98" s="3">
        <v>46718.25</v>
      </c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20">
        <f t="shared" si="1"/>
        <v>62573.25</v>
      </c>
    </row>
    <row r="99" spans="1:21" s="62" customFormat="1" x14ac:dyDescent="0.35">
      <c r="A99" s="9" t="s">
        <v>21</v>
      </c>
      <c r="B99" s="2">
        <v>46174</v>
      </c>
      <c r="C99" s="1" t="s">
        <v>86</v>
      </c>
      <c r="D99" s="1" t="s">
        <v>68</v>
      </c>
      <c r="E99" s="1" t="s">
        <v>24</v>
      </c>
      <c r="F99" s="1" t="s">
        <v>65</v>
      </c>
      <c r="G99" s="3">
        <v>205955</v>
      </c>
      <c r="H99" s="3">
        <v>47564</v>
      </c>
      <c r="I99" s="1">
        <v>0</v>
      </c>
      <c r="J99" s="3">
        <v>46718.25</v>
      </c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20">
        <f t="shared" si="1"/>
        <v>300237.25</v>
      </c>
    </row>
    <row r="100" spans="1:21" s="62" customFormat="1" x14ac:dyDescent="0.35">
      <c r="A100" s="9" t="s">
        <v>21</v>
      </c>
      <c r="B100" s="2">
        <v>46174</v>
      </c>
      <c r="C100" s="1" t="s">
        <v>70</v>
      </c>
      <c r="D100" s="1" t="s">
        <v>68</v>
      </c>
      <c r="E100" s="1" t="s">
        <v>24</v>
      </c>
      <c r="F100" s="1" t="s">
        <v>65</v>
      </c>
      <c r="G100" s="1">
        <v>0</v>
      </c>
      <c r="H100" s="3">
        <v>0</v>
      </c>
      <c r="I100" s="1">
        <v>0</v>
      </c>
      <c r="J100" s="3">
        <v>0</v>
      </c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20">
        <f t="shared" si="1"/>
        <v>0</v>
      </c>
    </row>
    <row r="101" spans="1:21" s="62" customFormat="1" x14ac:dyDescent="0.35">
      <c r="A101" s="9" t="s">
        <v>21</v>
      </c>
      <c r="B101" s="2">
        <v>46174</v>
      </c>
      <c r="C101" s="1" t="s">
        <v>40</v>
      </c>
      <c r="D101" s="1" t="s">
        <v>68</v>
      </c>
      <c r="E101" s="1" t="s">
        <v>24</v>
      </c>
      <c r="F101" s="1" t="s">
        <v>65</v>
      </c>
      <c r="G101" s="3">
        <v>79390</v>
      </c>
      <c r="H101" s="3">
        <v>15855</v>
      </c>
      <c r="I101" s="1">
        <v>0</v>
      </c>
      <c r="J101" s="3">
        <v>46718.25</v>
      </c>
      <c r="K101" s="19"/>
      <c r="L101" s="19"/>
      <c r="M101" s="19"/>
      <c r="N101" s="19"/>
      <c r="O101" s="19"/>
      <c r="P101" s="19"/>
      <c r="Q101" s="1">
        <v>589</v>
      </c>
      <c r="R101" s="19"/>
      <c r="S101" s="19"/>
      <c r="T101" s="19"/>
      <c r="U101" s="20">
        <f t="shared" si="1"/>
        <v>142552.25</v>
      </c>
    </row>
    <row r="102" spans="1:21" s="62" customFormat="1" x14ac:dyDescent="0.35">
      <c r="A102" s="9" t="s">
        <v>21</v>
      </c>
      <c r="B102" s="2">
        <v>46174</v>
      </c>
      <c r="C102" s="1" t="s">
        <v>71</v>
      </c>
      <c r="D102" s="1" t="s">
        <v>72</v>
      </c>
      <c r="E102" s="1" t="s">
        <v>33</v>
      </c>
      <c r="F102" s="1" t="s">
        <v>65</v>
      </c>
      <c r="G102" s="3">
        <v>3653556</v>
      </c>
      <c r="H102" s="3">
        <v>464351.14</v>
      </c>
      <c r="I102" s="1">
        <v>0</v>
      </c>
      <c r="J102" s="3">
        <v>46718.25</v>
      </c>
      <c r="K102" s="19"/>
      <c r="L102" s="21">
        <v>16920</v>
      </c>
      <c r="M102" s="21">
        <v>14220</v>
      </c>
      <c r="N102" s="19"/>
      <c r="O102" s="21">
        <v>38663</v>
      </c>
      <c r="P102" s="19"/>
      <c r="Q102" s="19"/>
      <c r="R102" s="21">
        <v>9584</v>
      </c>
      <c r="S102" s="21">
        <v>348370</v>
      </c>
      <c r="T102" s="19"/>
      <c r="U102" s="20">
        <f t="shared" si="1"/>
        <v>4592382.3900000006</v>
      </c>
    </row>
    <row r="103" spans="1:21" s="62" customFormat="1" x14ac:dyDescent="0.35">
      <c r="A103" s="9" t="s">
        <v>21</v>
      </c>
      <c r="B103" s="2">
        <v>46174</v>
      </c>
      <c r="C103" s="1" t="s">
        <v>73</v>
      </c>
      <c r="D103" s="1" t="s">
        <v>74</v>
      </c>
      <c r="E103" s="1" t="s">
        <v>33</v>
      </c>
      <c r="F103" s="1" t="s">
        <v>65</v>
      </c>
      <c r="G103" s="3">
        <v>982144</v>
      </c>
      <c r="H103" s="1">
        <v>0</v>
      </c>
      <c r="I103" s="1">
        <v>0</v>
      </c>
      <c r="J103" s="3">
        <v>46718.25</v>
      </c>
      <c r="K103" s="19"/>
      <c r="L103" s="19"/>
      <c r="M103" s="19"/>
      <c r="N103" s="19"/>
      <c r="O103" s="19"/>
      <c r="P103" s="19"/>
      <c r="Q103" s="19"/>
      <c r="R103" s="19"/>
      <c r="S103" s="21">
        <v>90122</v>
      </c>
      <c r="T103" s="19"/>
      <c r="U103" s="20">
        <f t="shared" si="1"/>
        <v>1118984.25</v>
      </c>
    </row>
    <row r="104" spans="1:21" s="62" customFormat="1" x14ac:dyDescent="0.35">
      <c r="A104" s="9" t="s">
        <v>21</v>
      </c>
      <c r="B104" s="2">
        <v>46174</v>
      </c>
      <c r="C104" s="1" t="s">
        <v>89</v>
      </c>
      <c r="D104" s="1" t="s">
        <v>75</v>
      </c>
      <c r="E104" s="1" t="s">
        <v>33</v>
      </c>
      <c r="F104" s="1" t="s">
        <v>65</v>
      </c>
      <c r="G104" s="3">
        <v>504252</v>
      </c>
      <c r="H104" s="3">
        <v>69561</v>
      </c>
      <c r="I104" s="3">
        <v>121794</v>
      </c>
      <c r="J104" s="3">
        <v>17967</v>
      </c>
      <c r="K104" s="21">
        <v>7410</v>
      </c>
      <c r="L104" s="21">
        <v>2462</v>
      </c>
      <c r="M104" s="21">
        <v>7097</v>
      </c>
      <c r="N104" s="21">
        <v>5300</v>
      </c>
      <c r="O104" s="19"/>
      <c r="P104" s="19"/>
      <c r="Q104" s="21">
        <v>1400</v>
      </c>
      <c r="R104" s="19"/>
      <c r="S104" s="19"/>
      <c r="T104" s="19"/>
      <c r="U104" s="20">
        <f t="shared" si="1"/>
        <v>737243</v>
      </c>
    </row>
    <row r="105" spans="1:21" s="62" customFormat="1" x14ac:dyDescent="0.35">
      <c r="A105" s="9" t="s">
        <v>21</v>
      </c>
      <c r="B105" s="2">
        <v>46174</v>
      </c>
      <c r="C105" s="1" t="s">
        <v>34</v>
      </c>
      <c r="D105" s="1" t="s">
        <v>42</v>
      </c>
      <c r="E105" s="1" t="s">
        <v>33</v>
      </c>
      <c r="F105" s="1" t="s">
        <v>25</v>
      </c>
      <c r="G105" s="1">
        <v>14666593</v>
      </c>
      <c r="H105" s="1"/>
      <c r="I105" s="1">
        <v>993300</v>
      </c>
      <c r="J105" s="3"/>
      <c r="K105" s="1"/>
      <c r="L105" s="1"/>
      <c r="M105" s="1"/>
      <c r="N105" s="1"/>
      <c r="O105" s="3"/>
      <c r="P105" s="3"/>
      <c r="Q105" s="1"/>
      <c r="R105" s="3"/>
      <c r="S105" s="1"/>
      <c r="T105" s="1"/>
      <c r="U105" s="20">
        <f t="shared" si="1"/>
        <v>15659893</v>
      </c>
    </row>
    <row r="106" spans="1:21" s="62" customFormat="1" x14ac:dyDescent="0.35">
      <c r="A106" s="9" t="s">
        <v>21</v>
      </c>
      <c r="B106" s="2">
        <v>46174</v>
      </c>
      <c r="C106" s="1" t="s">
        <v>34</v>
      </c>
      <c r="D106" s="1" t="s">
        <v>44</v>
      </c>
      <c r="E106" s="1" t="s">
        <v>33</v>
      </c>
      <c r="F106" s="1" t="s">
        <v>25</v>
      </c>
      <c r="G106" s="1">
        <v>2890740</v>
      </c>
      <c r="H106" s="1">
        <v>270356</v>
      </c>
      <c r="I106" s="1">
        <v>29848</v>
      </c>
      <c r="J106" s="3"/>
      <c r="K106" s="3"/>
      <c r="L106" s="1"/>
      <c r="M106" s="1"/>
      <c r="N106" s="1"/>
      <c r="O106" s="3"/>
      <c r="P106" s="3"/>
      <c r="Q106" s="3"/>
      <c r="R106" s="1"/>
      <c r="S106" s="1"/>
      <c r="T106" s="1"/>
      <c r="U106" s="20">
        <f t="shared" si="1"/>
        <v>3190944</v>
      </c>
    </row>
    <row r="107" spans="1:21" s="62" customFormat="1" x14ac:dyDescent="0.35">
      <c r="A107" s="9" t="s">
        <v>21</v>
      </c>
      <c r="B107" s="2">
        <v>46174</v>
      </c>
      <c r="C107" s="1" t="s">
        <v>45</v>
      </c>
      <c r="D107" s="1" t="s">
        <v>46</v>
      </c>
      <c r="E107" s="1" t="s">
        <v>33</v>
      </c>
      <c r="F107" s="1" t="s">
        <v>25</v>
      </c>
      <c r="G107" s="1">
        <v>113274</v>
      </c>
      <c r="H107" s="1">
        <v>56967</v>
      </c>
      <c r="I107" s="1">
        <v>0</v>
      </c>
      <c r="J107" s="3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20">
        <f t="shared" si="1"/>
        <v>170241</v>
      </c>
    </row>
    <row r="108" spans="1:21" s="62" customFormat="1" x14ac:dyDescent="0.35">
      <c r="A108" s="9" t="s">
        <v>21</v>
      </c>
      <c r="B108" s="2">
        <v>46174</v>
      </c>
      <c r="C108" s="1" t="s">
        <v>22</v>
      </c>
      <c r="D108" s="1" t="s">
        <v>23</v>
      </c>
      <c r="E108" s="1" t="s">
        <v>24</v>
      </c>
      <c r="F108" s="1" t="s">
        <v>43</v>
      </c>
      <c r="G108" s="1">
        <v>131762</v>
      </c>
      <c r="H108" s="1"/>
      <c r="I108" s="1">
        <v>2400</v>
      </c>
      <c r="J108" s="3">
        <v>7500</v>
      </c>
      <c r="K108" s="1">
        <v>4692</v>
      </c>
      <c r="L108" s="1">
        <v>2660</v>
      </c>
      <c r="M108" s="1">
        <v>47035</v>
      </c>
      <c r="N108" s="1">
        <v>0</v>
      </c>
      <c r="O108" s="1">
        <v>0</v>
      </c>
      <c r="P108" s="1">
        <v>0</v>
      </c>
      <c r="Q108" s="1">
        <v>0</v>
      </c>
      <c r="R108" s="1">
        <v>1770</v>
      </c>
      <c r="S108" s="1">
        <v>254550</v>
      </c>
      <c r="T108" s="1" t="s">
        <v>90</v>
      </c>
      <c r="U108" s="20">
        <f t="shared" si="1"/>
        <v>452369</v>
      </c>
    </row>
    <row r="109" spans="1:21" s="62" customFormat="1" x14ac:dyDescent="0.35">
      <c r="A109" s="9" t="s">
        <v>21</v>
      </c>
      <c r="B109" s="2">
        <v>46174</v>
      </c>
      <c r="C109" s="1" t="s">
        <v>27</v>
      </c>
      <c r="D109" s="1" t="s">
        <v>23</v>
      </c>
      <c r="E109" s="1" t="s">
        <v>24</v>
      </c>
      <c r="F109" s="1" t="s">
        <v>43</v>
      </c>
      <c r="G109" s="1">
        <v>521956</v>
      </c>
      <c r="H109" s="1"/>
      <c r="I109" s="1">
        <v>0</v>
      </c>
      <c r="J109" s="3">
        <v>7500</v>
      </c>
      <c r="K109" s="1">
        <v>13707</v>
      </c>
      <c r="L109" s="1">
        <v>7520</v>
      </c>
      <c r="M109" s="1">
        <v>49882</v>
      </c>
      <c r="N109" s="1">
        <v>2500</v>
      </c>
      <c r="O109" s="1">
        <v>13333</v>
      </c>
      <c r="P109" s="1">
        <v>8993</v>
      </c>
      <c r="Q109" s="1">
        <v>3125</v>
      </c>
      <c r="R109" s="1">
        <v>1770</v>
      </c>
      <c r="S109" s="1">
        <v>4200</v>
      </c>
      <c r="T109" s="1" t="s">
        <v>91</v>
      </c>
      <c r="U109" s="20">
        <f t="shared" si="1"/>
        <v>634486</v>
      </c>
    </row>
    <row r="110" spans="1:21" s="62" customFormat="1" x14ac:dyDescent="0.35">
      <c r="A110" s="9" t="s">
        <v>21</v>
      </c>
      <c r="B110" s="2">
        <v>46174</v>
      </c>
      <c r="C110" s="1" t="s">
        <v>29</v>
      </c>
      <c r="D110" s="1" t="s">
        <v>23</v>
      </c>
      <c r="E110" s="1" t="s">
        <v>24</v>
      </c>
      <c r="F110" s="1" t="s">
        <v>43</v>
      </c>
      <c r="G110" s="1">
        <v>89879</v>
      </c>
      <c r="H110" s="1">
        <v>0</v>
      </c>
      <c r="I110" s="1">
        <v>0</v>
      </c>
      <c r="J110" s="3">
        <v>7500</v>
      </c>
      <c r="K110" s="1">
        <v>1824</v>
      </c>
      <c r="L110" s="1">
        <v>0</v>
      </c>
      <c r="M110" s="1">
        <v>0</v>
      </c>
      <c r="N110" s="1">
        <v>0</v>
      </c>
      <c r="O110" s="1">
        <v>13333</v>
      </c>
      <c r="P110" s="1">
        <v>0</v>
      </c>
      <c r="Q110" s="1">
        <v>3125</v>
      </c>
      <c r="R110" s="1">
        <v>1770</v>
      </c>
      <c r="S110" s="19">
        <v>0</v>
      </c>
      <c r="T110" s="19"/>
      <c r="U110" s="20">
        <f t="shared" si="1"/>
        <v>117431</v>
      </c>
    </row>
    <row r="111" spans="1:21" s="62" customFormat="1" x14ac:dyDescent="0.35">
      <c r="A111" s="9" t="s">
        <v>21</v>
      </c>
      <c r="B111" s="2">
        <v>46174</v>
      </c>
      <c r="C111" s="1" t="s">
        <v>30</v>
      </c>
      <c r="D111" s="1" t="s">
        <v>23</v>
      </c>
      <c r="E111" s="1" t="s">
        <v>24</v>
      </c>
      <c r="F111" s="1" t="s">
        <v>43</v>
      </c>
      <c r="G111" s="1">
        <v>44006</v>
      </c>
      <c r="H111" s="1"/>
      <c r="I111" s="1">
        <v>0</v>
      </c>
      <c r="J111" s="3">
        <v>7500</v>
      </c>
      <c r="K111" s="1">
        <v>2880</v>
      </c>
      <c r="L111" s="1">
        <v>8360</v>
      </c>
      <c r="M111" s="1">
        <v>0</v>
      </c>
      <c r="N111" s="1">
        <v>0</v>
      </c>
      <c r="O111" s="1">
        <v>13333</v>
      </c>
      <c r="P111" s="1">
        <v>4000</v>
      </c>
      <c r="Q111" s="1">
        <v>3125</v>
      </c>
      <c r="R111" s="1">
        <v>1770</v>
      </c>
      <c r="S111" s="19"/>
      <c r="T111" s="19"/>
      <c r="U111" s="20">
        <f t="shared" si="1"/>
        <v>84974</v>
      </c>
    </row>
    <row r="112" spans="1:21" s="62" customFormat="1" x14ac:dyDescent="0.35">
      <c r="A112" s="9" t="s">
        <v>21</v>
      </c>
      <c r="B112" s="2">
        <v>46174</v>
      </c>
      <c r="C112" s="1" t="s">
        <v>89</v>
      </c>
      <c r="D112" s="1" t="s">
        <v>32</v>
      </c>
      <c r="E112" s="1" t="s">
        <v>33</v>
      </c>
      <c r="F112" s="1" t="s">
        <v>43</v>
      </c>
      <c r="G112" s="1">
        <v>192070</v>
      </c>
      <c r="H112" s="1">
        <v>52662</v>
      </c>
      <c r="I112" s="1">
        <v>0</v>
      </c>
      <c r="J112" s="3">
        <v>3056</v>
      </c>
      <c r="K112" s="1">
        <v>3204</v>
      </c>
      <c r="L112" s="1">
        <v>2250</v>
      </c>
      <c r="M112" s="1">
        <v>0</v>
      </c>
      <c r="N112" s="1">
        <v>5000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9"/>
      <c r="U112" s="20">
        <f t="shared" si="1"/>
        <v>258242</v>
      </c>
    </row>
    <row r="113" spans="1:21" s="62" customFormat="1" x14ac:dyDescent="0.35">
      <c r="A113" s="9" t="s">
        <v>21</v>
      </c>
      <c r="B113" s="2">
        <v>46174</v>
      </c>
      <c r="C113" s="1" t="s">
        <v>34</v>
      </c>
      <c r="D113" s="1" t="s">
        <v>35</v>
      </c>
      <c r="E113" s="1" t="s">
        <v>33</v>
      </c>
      <c r="F113" s="1" t="s">
        <v>43</v>
      </c>
      <c r="G113" s="1">
        <v>3358523</v>
      </c>
      <c r="H113" s="1">
        <v>429887</v>
      </c>
      <c r="I113" s="1">
        <v>0</v>
      </c>
      <c r="J113" s="3">
        <v>75000</v>
      </c>
      <c r="K113" s="1">
        <v>30936</v>
      </c>
      <c r="L113" s="1">
        <v>16725</v>
      </c>
      <c r="M113" s="1">
        <v>25330</v>
      </c>
      <c r="N113" s="1">
        <v>5000</v>
      </c>
      <c r="O113" s="1">
        <v>15000</v>
      </c>
      <c r="P113" s="1">
        <v>0</v>
      </c>
      <c r="Q113" s="1">
        <v>0</v>
      </c>
      <c r="R113" s="1">
        <v>4200</v>
      </c>
      <c r="S113" s="1">
        <v>1200</v>
      </c>
      <c r="T113" s="1" t="s">
        <v>77</v>
      </c>
      <c r="U113" s="20">
        <f t="shared" si="1"/>
        <v>3961801</v>
      </c>
    </row>
    <row r="114" spans="1:21" s="62" customFormat="1" x14ac:dyDescent="0.35">
      <c r="A114" s="9" t="s">
        <v>21</v>
      </c>
      <c r="B114" s="2">
        <v>46174</v>
      </c>
      <c r="C114" s="1" t="s">
        <v>134</v>
      </c>
      <c r="D114" s="1" t="s">
        <v>38</v>
      </c>
      <c r="E114" s="1" t="s">
        <v>24</v>
      </c>
      <c r="F114" s="1" t="s">
        <v>43</v>
      </c>
      <c r="G114" s="3">
        <v>194268</v>
      </c>
      <c r="H114" s="3">
        <v>21225.599999999999</v>
      </c>
      <c r="I114" s="1"/>
      <c r="J114" s="3">
        <v>16057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20">
        <f t="shared" si="1"/>
        <v>231550.6</v>
      </c>
    </row>
    <row r="115" spans="1:21" s="62" customFormat="1" x14ac:dyDescent="0.35">
      <c r="A115" s="9" t="s">
        <v>21</v>
      </c>
      <c r="B115" s="2">
        <v>46174</v>
      </c>
      <c r="C115" s="1" t="s">
        <v>49</v>
      </c>
      <c r="D115" s="1" t="s">
        <v>38</v>
      </c>
      <c r="E115" s="1" t="s">
        <v>24</v>
      </c>
      <c r="F115" s="1" t="s">
        <v>43</v>
      </c>
      <c r="G115" s="3">
        <v>30222</v>
      </c>
      <c r="H115" s="3">
        <v>21225.599999999999</v>
      </c>
      <c r="I115" s="1">
        <v>58292</v>
      </c>
      <c r="J115" s="3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20">
        <f t="shared" si="1"/>
        <v>109739.6</v>
      </c>
    </row>
    <row r="116" spans="1:21" s="62" customFormat="1" x14ac:dyDescent="0.35">
      <c r="A116" s="9" t="s">
        <v>21</v>
      </c>
      <c r="B116" s="2">
        <v>46174</v>
      </c>
      <c r="C116" s="1" t="s">
        <v>40</v>
      </c>
      <c r="D116" s="1" t="s">
        <v>38</v>
      </c>
      <c r="E116" s="1" t="s">
        <v>24</v>
      </c>
      <c r="F116" s="1" t="s">
        <v>43</v>
      </c>
      <c r="G116" s="3">
        <v>96315</v>
      </c>
      <c r="H116" s="3">
        <v>21225.599999999999</v>
      </c>
      <c r="I116" s="1"/>
      <c r="J116" s="3">
        <v>16057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20">
        <f t="shared" si="1"/>
        <v>133597.6</v>
      </c>
    </row>
    <row r="117" spans="1:21" s="62" customFormat="1" x14ac:dyDescent="0.35">
      <c r="A117" s="9" t="s">
        <v>21</v>
      </c>
      <c r="B117" s="2">
        <v>46174</v>
      </c>
      <c r="C117" s="1" t="s">
        <v>88</v>
      </c>
      <c r="D117" s="1" t="s">
        <v>38</v>
      </c>
      <c r="E117" s="1" t="s">
        <v>24</v>
      </c>
      <c r="F117" s="1" t="s">
        <v>43</v>
      </c>
      <c r="G117" s="3">
        <v>23413</v>
      </c>
      <c r="H117" s="3">
        <v>21225.599999999999</v>
      </c>
      <c r="I117" s="1">
        <v>19760</v>
      </c>
      <c r="J117" s="3">
        <v>0</v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20">
        <f t="shared" si="1"/>
        <v>64398.6</v>
      </c>
    </row>
    <row r="118" spans="1:21" s="62" customFormat="1" x14ac:dyDescent="0.35">
      <c r="A118" s="9" t="s">
        <v>21</v>
      </c>
      <c r="B118" s="2">
        <v>46174</v>
      </c>
      <c r="C118" s="1" t="s">
        <v>41</v>
      </c>
      <c r="D118" s="1" t="s">
        <v>38</v>
      </c>
      <c r="E118" s="1" t="s">
        <v>24</v>
      </c>
      <c r="F118" s="1" t="s">
        <v>43</v>
      </c>
      <c r="G118" s="3">
        <v>0</v>
      </c>
      <c r="H118" s="3">
        <v>21225.599999999999</v>
      </c>
      <c r="I118" s="1">
        <v>0</v>
      </c>
      <c r="J118" s="3">
        <v>16057</v>
      </c>
      <c r="K118" s="1">
        <v>2120</v>
      </c>
      <c r="L118" s="1">
        <v>1026</v>
      </c>
      <c r="M118" s="1">
        <v>8000</v>
      </c>
      <c r="N118" s="1">
        <v>1000</v>
      </c>
      <c r="O118" s="1">
        <v>2333</v>
      </c>
      <c r="P118" s="19"/>
      <c r="Q118" s="19"/>
      <c r="R118" s="1">
        <v>1770</v>
      </c>
      <c r="S118" s="19"/>
      <c r="T118" s="19"/>
      <c r="U118" s="20">
        <f t="shared" si="1"/>
        <v>53531.6</v>
      </c>
    </row>
    <row r="119" spans="1:21" s="62" customFormat="1" x14ac:dyDescent="0.35">
      <c r="A119" s="9" t="s">
        <v>21</v>
      </c>
      <c r="B119" s="2">
        <v>46174</v>
      </c>
      <c r="C119" s="1" t="s">
        <v>78</v>
      </c>
      <c r="D119" s="1" t="s">
        <v>79</v>
      </c>
      <c r="E119" s="1" t="s">
        <v>80</v>
      </c>
      <c r="F119" s="1" t="s">
        <v>43</v>
      </c>
      <c r="G119" s="1">
        <v>208809</v>
      </c>
      <c r="H119" s="1">
        <v>0</v>
      </c>
      <c r="I119" s="1"/>
      <c r="J119" s="3">
        <v>0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20">
        <f t="shared" si="1"/>
        <v>208809</v>
      </c>
    </row>
    <row r="120" spans="1:21" s="62" customFormat="1" x14ac:dyDescent="0.35">
      <c r="A120" s="9" t="s">
        <v>21</v>
      </c>
      <c r="B120" s="2">
        <v>46174</v>
      </c>
      <c r="C120" s="1" t="s">
        <v>30</v>
      </c>
      <c r="D120" s="1" t="s">
        <v>47</v>
      </c>
      <c r="E120" s="1" t="s">
        <v>24</v>
      </c>
      <c r="F120" s="1" t="s">
        <v>48</v>
      </c>
      <c r="G120" s="1">
        <v>32370</v>
      </c>
      <c r="H120" s="3">
        <v>33645.333333333336</v>
      </c>
      <c r="I120" s="3">
        <v>0</v>
      </c>
      <c r="J120" s="3"/>
      <c r="K120" s="1">
        <v>1964</v>
      </c>
      <c r="L120" s="1">
        <v>504</v>
      </c>
      <c r="M120" s="1">
        <v>1475</v>
      </c>
      <c r="N120" s="1">
        <v>3740</v>
      </c>
      <c r="O120" s="19"/>
      <c r="P120" s="19"/>
      <c r="Q120" s="19"/>
      <c r="R120" s="19"/>
      <c r="S120" s="19"/>
      <c r="T120" s="19"/>
      <c r="U120" s="20">
        <f t="shared" si="1"/>
        <v>73698.333333333343</v>
      </c>
    </row>
    <row r="121" spans="1:21" s="62" customFormat="1" x14ac:dyDescent="0.35">
      <c r="A121" s="9" t="s">
        <v>21</v>
      </c>
      <c r="B121" s="2">
        <v>46174</v>
      </c>
      <c r="C121" s="1" t="s">
        <v>49</v>
      </c>
      <c r="D121" s="1" t="s">
        <v>47</v>
      </c>
      <c r="E121" s="1" t="s">
        <v>24</v>
      </c>
      <c r="F121" s="1" t="s">
        <v>48</v>
      </c>
      <c r="G121" s="1">
        <v>3002946</v>
      </c>
      <c r="H121" s="3">
        <v>75745</v>
      </c>
      <c r="I121" s="1">
        <v>0</v>
      </c>
      <c r="J121" s="3"/>
      <c r="K121" s="1">
        <v>53094</v>
      </c>
      <c r="L121" s="19"/>
      <c r="M121" s="19"/>
      <c r="N121" s="19"/>
      <c r="O121" s="19"/>
      <c r="P121" s="1">
        <v>10500</v>
      </c>
      <c r="Q121" s="19"/>
      <c r="R121" s="1">
        <v>10353</v>
      </c>
      <c r="S121" s="1">
        <v>118671</v>
      </c>
      <c r="T121" s="19" t="s">
        <v>123</v>
      </c>
      <c r="U121" s="20">
        <f t="shared" si="1"/>
        <v>3271309</v>
      </c>
    </row>
    <row r="122" spans="1:21" s="62" customFormat="1" x14ac:dyDescent="0.35">
      <c r="A122" s="9" t="s">
        <v>21</v>
      </c>
      <c r="B122" s="2">
        <v>46174</v>
      </c>
      <c r="C122" s="1" t="s">
        <v>51</v>
      </c>
      <c r="D122" s="1" t="s">
        <v>47</v>
      </c>
      <c r="E122" s="1" t="s">
        <v>24</v>
      </c>
      <c r="F122" s="1" t="s">
        <v>48</v>
      </c>
      <c r="G122" s="1">
        <v>98759</v>
      </c>
      <c r="H122" s="3">
        <v>33645.333333333336</v>
      </c>
      <c r="I122" s="1">
        <v>17350</v>
      </c>
      <c r="J122" s="3"/>
      <c r="K122" s="1">
        <v>2700</v>
      </c>
      <c r="L122" s="1">
        <v>648</v>
      </c>
      <c r="M122" s="1">
        <v>4840</v>
      </c>
      <c r="N122" s="1">
        <v>699</v>
      </c>
      <c r="O122" s="19"/>
      <c r="P122" s="1">
        <v>3376</v>
      </c>
      <c r="Q122" s="19"/>
      <c r="R122" s="19"/>
      <c r="S122" s="19"/>
      <c r="T122" s="19"/>
      <c r="U122" s="20">
        <f t="shared" si="1"/>
        <v>162017.33333333334</v>
      </c>
    </row>
    <row r="123" spans="1:21" s="31" customFormat="1" ht="15" thickBot="1" x14ac:dyDescent="0.4">
      <c r="A123" s="16" t="s">
        <v>21</v>
      </c>
      <c r="B123" s="17">
        <v>46174</v>
      </c>
      <c r="C123" s="18" t="s">
        <v>52</v>
      </c>
      <c r="D123" s="18" t="s">
        <v>47</v>
      </c>
      <c r="E123" s="18" t="s">
        <v>24</v>
      </c>
      <c r="F123" s="18" t="s">
        <v>48</v>
      </c>
      <c r="G123" s="18">
        <v>191909</v>
      </c>
      <c r="H123" s="10">
        <v>33645.333333333336</v>
      </c>
      <c r="I123" s="18">
        <v>5650</v>
      </c>
      <c r="J123" s="10"/>
      <c r="K123" s="18">
        <v>6168</v>
      </c>
      <c r="L123" s="18">
        <v>864</v>
      </c>
      <c r="M123" s="18">
        <v>7610</v>
      </c>
      <c r="N123" s="18">
        <v>9119</v>
      </c>
      <c r="O123" s="18">
        <v>14000</v>
      </c>
      <c r="P123" s="18">
        <v>4335</v>
      </c>
      <c r="Q123" s="30"/>
      <c r="R123" s="30"/>
      <c r="S123" s="30"/>
      <c r="T123" s="30"/>
      <c r="U123" s="27">
        <f t="shared" si="1"/>
        <v>273300.33333333337</v>
      </c>
    </row>
    <row r="124" spans="1:21" s="26" customFormat="1" x14ac:dyDescent="0.35">
      <c r="A124" s="5" t="s">
        <v>21</v>
      </c>
      <c r="B124" s="6">
        <v>46204</v>
      </c>
      <c r="C124" s="7" t="s">
        <v>86</v>
      </c>
      <c r="D124" s="29" t="s">
        <v>85</v>
      </c>
      <c r="E124" s="7" t="s">
        <v>24</v>
      </c>
      <c r="F124" s="29" t="s">
        <v>53</v>
      </c>
      <c r="G124" s="81"/>
      <c r="H124" s="82"/>
      <c r="I124" s="82"/>
      <c r="J124" s="99"/>
      <c r="K124" s="83"/>
      <c r="L124" s="83"/>
      <c r="M124" s="83"/>
      <c r="N124" s="83"/>
      <c r="O124" s="83"/>
      <c r="P124" s="83"/>
      <c r="Q124" s="83"/>
      <c r="R124" s="83"/>
      <c r="S124" s="83"/>
      <c r="T124" s="76"/>
      <c r="U124" s="25">
        <f t="shared" si="1"/>
        <v>0</v>
      </c>
    </row>
    <row r="125" spans="1:21" s="62" customFormat="1" x14ac:dyDescent="0.35">
      <c r="A125" s="9" t="s">
        <v>21</v>
      </c>
      <c r="B125" s="2">
        <v>46204</v>
      </c>
      <c r="C125" s="1" t="s">
        <v>89</v>
      </c>
      <c r="D125" s="4" t="s">
        <v>85</v>
      </c>
      <c r="E125" s="1" t="s">
        <v>24</v>
      </c>
      <c r="F125" s="75" t="s">
        <v>53</v>
      </c>
      <c r="G125" s="19"/>
      <c r="H125" s="84"/>
      <c r="I125" s="85"/>
      <c r="J125" s="11">
        <v>44980</v>
      </c>
      <c r="K125" s="11"/>
      <c r="L125" s="11">
        <v>6400</v>
      </c>
      <c r="M125" s="11">
        <v>4640</v>
      </c>
      <c r="N125" s="11">
        <v>9870</v>
      </c>
      <c r="O125" s="11"/>
      <c r="P125" s="86"/>
      <c r="Q125" s="86"/>
      <c r="R125" s="86"/>
      <c r="S125" s="86"/>
      <c r="T125" s="77"/>
      <c r="U125" s="71">
        <f t="shared" si="1"/>
        <v>65890</v>
      </c>
    </row>
    <row r="126" spans="1:21" s="62" customFormat="1" x14ac:dyDescent="0.35">
      <c r="A126" s="9" t="s">
        <v>21</v>
      </c>
      <c r="B126" s="2">
        <v>46204</v>
      </c>
      <c r="C126" s="4" t="s">
        <v>30</v>
      </c>
      <c r="D126" s="4" t="s">
        <v>83</v>
      </c>
      <c r="E126" s="4" t="s">
        <v>24</v>
      </c>
      <c r="F126" s="75" t="s">
        <v>53</v>
      </c>
      <c r="G126" s="19"/>
      <c r="H126" s="11">
        <v>66160</v>
      </c>
      <c r="I126" s="85"/>
      <c r="J126" s="11">
        <v>9640</v>
      </c>
      <c r="K126" s="11">
        <v>2550</v>
      </c>
      <c r="L126" s="11">
        <v>2100</v>
      </c>
      <c r="M126" s="11">
        <v>1914</v>
      </c>
      <c r="N126" s="11">
        <v>5010</v>
      </c>
      <c r="O126" s="11">
        <v>1860</v>
      </c>
      <c r="P126" s="11">
        <v>1364</v>
      </c>
      <c r="Q126" s="11">
        <v>11000</v>
      </c>
      <c r="R126" s="11">
        <v>5079</v>
      </c>
      <c r="S126" s="11"/>
      <c r="T126" s="12"/>
      <c r="U126" s="71">
        <f>SUM(H126:S126)</f>
        <v>106677</v>
      </c>
    </row>
    <row r="127" spans="1:21" s="62" customFormat="1" x14ac:dyDescent="0.35">
      <c r="A127" s="9" t="s">
        <v>21</v>
      </c>
      <c r="B127" s="2">
        <v>46204</v>
      </c>
      <c r="C127" s="4" t="s">
        <v>55</v>
      </c>
      <c r="D127" s="4" t="s">
        <v>83</v>
      </c>
      <c r="E127" s="4" t="s">
        <v>24</v>
      </c>
      <c r="F127" s="75" t="s">
        <v>53</v>
      </c>
      <c r="G127" s="19"/>
      <c r="H127" s="11">
        <v>33080</v>
      </c>
      <c r="I127" s="85"/>
      <c r="J127" s="11">
        <v>9640</v>
      </c>
      <c r="K127" s="11">
        <v>2748</v>
      </c>
      <c r="L127" s="11">
        <v>2100</v>
      </c>
      <c r="M127" s="11">
        <v>1914</v>
      </c>
      <c r="N127" s="11"/>
      <c r="O127" s="11"/>
      <c r="P127" s="11">
        <v>1364</v>
      </c>
      <c r="Q127" s="11"/>
      <c r="R127" s="11"/>
      <c r="S127" s="11"/>
      <c r="T127" s="12"/>
      <c r="U127" s="71">
        <f>SUM(H127:S127)</f>
        <v>50846</v>
      </c>
    </row>
    <row r="128" spans="1:21" s="62" customFormat="1" x14ac:dyDescent="0.35">
      <c r="A128" s="9" t="s">
        <v>21</v>
      </c>
      <c r="B128" s="2">
        <v>46204</v>
      </c>
      <c r="C128" s="1" t="s">
        <v>56</v>
      </c>
      <c r="D128" s="4" t="s">
        <v>84</v>
      </c>
      <c r="E128" s="4" t="s">
        <v>24</v>
      </c>
      <c r="F128" s="75" t="s">
        <v>53</v>
      </c>
      <c r="G128" s="19"/>
      <c r="H128" s="11">
        <v>228556</v>
      </c>
      <c r="I128" s="85"/>
      <c r="J128" s="11">
        <v>120227</v>
      </c>
      <c r="K128" s="11">
        <v>48401</v>
      </c>
      <c r="L128" s="11">
        <v>28050</v>
      </c>
      <c r="M128" s="11">
        <v>30779</v>
      </c>
      <c r="N128" s="11"/>
      <c r="O128" s="11">
        <v>19110</v>
      </c>
      <c r="P128" s="11">
        <v>19557</v>
      </c>
      <c r="Q128" s="11"/>
      <c r="R128" s="11">
        <v>8654</v>
      </c>
      <c r="S128" s="11"/>
      <c r="T128" s="12"/>
      <c r="U128" s="71">
        <f>SUM(H128:S128)</f>
        <v>503334</v>
      </c>
    </row>
    <row r="129" spans="1:21" s="62" customFormat="1" x14ac:dyDescent="0.35">
      <c r="A129" s="9" t="s">
        <v>21</v>
      </c>
      <c r="B129" s="2">
        <v>46204</v>
      </c>
      <c r="C129" s="4" t="s">
        <v>58</v>
      </c>
      <c r="D129" s="4" t="s">
        <v>84</v>
      </c>
      <c r="E129" s="4" t="s">
        <v>24</v>
      </c>
      <c r="F129" s="75" t="s">
        <v>53</v>
      </c>
      <c r="G129" s="19"/>
      <c r="H129" s="11">
        <v>65301</v>
      </c>
      <c r="I129" s="85"/>
      <c r="J129" s="11">
        <v>40696</v>
      </c>
      <c r="K129" s="11">
        <v>26201</v>
      </c>
      <c r="L129" s="11"/>
      <c r="M129" s="11"/>
      <c r="N129" s="11"/>
      <c r="O129" s="11"/>
      <c r="P129" s="11"/>
      <c r="Q129" s="11"/>
      <c r="R129" s="11"/>
      <c r="S129" s="11"/>
      <c r="T129" s="12"/>
      <c r="U129" s="71">
        <f>SUM(H129:S129)</f>
        <v>132198</v>
      </c>
    </row>
    <row r="130" spans="1:21" s="62" customFormat="1" x14ac:dyDescent="0.35">
      <c r="A130" s="9" t="s">
        <v>21</v>
      </c>
      <c r="B130" s="2">
        <v>46204</v>
      </c>
      <c r="C130" s="4" t="s">
        <v>59</v>
      </c>
      <c r="D130" s="4" t="s">
        <v>87</v>
      </c>
      <c r="E130" s="4" t="s">
        <v>24</v>
      </c>
      <c r="F130" s="75" t="s">
        <v>53</v>
      </c>
      <c r="G130" s="19"/>
      <c r="H130" s="11">
        <v>32650</v>
      </c>
      <c r="I130" s="85"/>
      <c r="J130" s="11">
        <v>21323</v>
      </c>
      <c r="K130" s="11">
        <v>4000</v>
      </c>
      <c r="L130" s="11">
        <v>5800</v>
      </c>
      <c r="M130" s="11">
        <v>2420</v>
      </c>
      <c r="N130" s="11"/>
      <c r="O130" s="11"/>
      <c r="P130" s="11"/>
      <c r="Q130" s="11"/>
      <c r="R130" s="11"/>
      <c r="S130" s="11">
        <v>84000</v>
      </c>
      <c r="T130" s="12" t="s">
        <v>135</v>
      </c>
      <c r="U130" s="71">
        <f>SUM(H130:S130)</f>
        <v>150193</v>
      </c>
    </row>
    <row r="131" spans="1:21" s="62" customFormat="1" x14ac:dyDescent="0.35">
      <c r="A131" s="9" t="s">
        <v>21</v>
      </c>
      <c r="B131" s="2">
        <v>46204</v>
      </c>
      <c r="C131" s="4" t="s">
        <v>40</v>
      </c>
      <c r="D131" s="4" t="s">
        <v>87</v>
      </c>
      <c r="E131" s="4" t="s">
        <v>24</v>
      </c>
      <c r="F131" s="75" t="s">
        <v>53</v>
      </c>
      <c r="G131" s="19"/>
      <c r="H131" s="11">
        <v>31675</v>
      </c>
      <c r="I131" s="85"/>
      <c r="J131" s="11">
        <v>20198</v>
      </c>
      <c r="K131" s="11">
        <v>2450</v>
      </c>
      <c r="L131" s="11">
        <v>3200</v>
      </c>
      <c r="M131" s="11">
        <v>19896</v>
      </c>
      <c r="N131" s="11"/>
      <c r="O131" s="11"/>
      <c r="P131" s="11">
        <v>3109</v>
      </c>
      <c r="Q131" s="11"/>
      <c r="R131" s="11"/>
      <c r="S131" s="11"/>
      <c r="T131" s="12"/>
      <c r="U131" s="71">
        <f>SUM(H131:S131)</f>
        <v>80528</v>
      </c>
    </row>
    <row r="132" spans="1:21" s="62" customFormat="1" x14ac:dyDescent="0.35">
      <c r="A132" s="9" t="s">
        <v>21</v>
      </c>
      <c r="B132" s="2">
        <v>46204</v>
      </c>
      <c r="C132" s="4" t="s">
        <v>34</v>
      </c>
      <c r="D132" s="4" t="s">
        <v>87</v>
      </c>
      <c r="E132" s="4" t="s">
        <v>24</v>
      </c>
      <c r="F132" s="75" t="s">
        <v>53</v>
      </c>
      <c r="G132" s="19"/>
      <c r="H132" s="11"/>
      <c r="I132" s="85"/>
      <c r="J132" s="11">
        <v>141550</v>
      </c>
      <c r="K132" s="11">
        <v>40320</v>
      </c>
      <c r="L132" s="11">
        <v>62180</v>
      </c>
      <c r="M132" s="11">
        <v>32696</v>
      </c>
      <c r="N132" s="11"/>
      <c r="O132" s="11">
        <v>13500</v>
      </c>
      <c r="P132" s="11">
        <v>14145</v>
      </c>
      <c r="Q132" s="11"/>
      <c r="R132" s="11">
        <v>6392</v>
      </c>
      <c r="S132" s="11"/>
      <c r="T132" s="12"/>
      <c r="U132" s="71">
        <f>SUM(H132:S132)</f>
        <v>310783</v>
      </c>
    </row>
    <row r="133" spans="1:21" s="62" customFormat="1" x14ac:dyDescent="0.35">
      <c r="A133" s="9" t="s">
        <v>21</v>
      </c>
      <c r="B133" s="2">
        <v>46204</v>
      </c>
      <c r="C133" s="4" t="s">
        <v>34</v>
      </c>
      <c r="D133" s="4" t="s">
        <v>61</v>
      </c>
      <c r="E133" s="4" t="s">
        <v>33</v>
      </c>
      <c r="F133" s="75" t="s">
        <v>53</v>
      </c>
      <c r="G133" s="19"/>
      <c r="H133" s="84"/>
      <c r="I133" s="85"/>
      <c r="J133" s="11">
        <v>60317</v>
      </c>
      <c r="K133" s="11"/>
      <c r="L133" s="11"/>
      <c r="M133" s="11"/>
      <c r="N133" s="11"/>
      <c r="O133" s="11"/>
      <c r="P133" s="86"/>
      <c r="Q133" s="86"/>
      <c r="R133" s="86"/>
      <c r="S133" s="86"/>
      <c r="T133" s="77"/>
      <c r="U133" s="71">
        <f t="shared" ref="U132:U163" si="2">SUM(G133:S133)</f>
        <v>60317</v>
      </c>
    </row>
    <row r="134" spans="1:21" s="62" customFormat="1" x14ac:dyDescent="0.35">
      <c r="A134" s="9" t="s">
        <v>21</v>
      </c>
      <c r="B134" s="2">
        <v>46204</v>
      </c>
      <c r="C134" s="4" t="s">
        <v>34</v>
      </c>
      <c r="D134" s="4" t="s">
        <v>62</v>
      </c>
      <c r="E134" s="4" t="s">
        <v>24</v>
      </c>
      <c r="F134" s="4" t="s">
        <v>53</v>
      </c>
      <c r="G134" s="58"/>
      <c r="H134" s="87"/>
      <c r="I134" s="87"/>
      <c r="J134" s="100"/>
      <c r="K134" s="88"/>
      <c r="L134" s="88"/>
      <c r="M134" s="88"/>
      <c r="N134" s="88"/>
      <c r="O134" s="88"/>
      <c r="P134" s="88"/>
      <c r="Q134" s="88"/>
      <c r="R134" s="88"/>
      <c r="S134" s="88"/>
      <c r="T134" s="78"/>
      <c r="U134" s="20">
        <f t="shared" si="2"/>
        <v>0</v>
      </c>
    </row>
    <row r="135" spans="1:21" s="62" customFormat="1" x14ac:dyDescent="0.35">
      <c r="A135" s="9" t="s">
        <v>21</v>
      </c>
      <c r="B135" s="2">
        <v>46204</v>
      </c>
      <c r="C135" s="1" t="s">
        <v>63</v>
      </c>
      <c r="D135" s="1" t="s">
        <v>64</v>
      </c>
      <c r="E135" s="1" t="s">
        <v>33</v>
      </c>
      <c r="F135" s="1" t="s">
        <v>65</v>
      </c>
      <c r="G135" s="3"/>
      <c r="H135" s="3"/>
      <c r="I135" s="3"/>
      <c r="J135" s="79">
        <v>14961</v>
      </c>
      <c r="K135" s="89"/>
      <c r="L135" s="89"/>
      <c r="M135" s="79">
        <v>16638</v>
      </c>
      <c r="N135" s="89"/>
      <c r="O135" s="89"/>
      <c r="P135" s="89"/>
      <c r="Q135" s="89"/>
      <c r="R135" s="89"/>
      <c r="S135" s="79">
        <v>4955</v>
      </c>
      <c r="T135" s="80"/>
      <c r="U135" s="71">
        <f t="shared" si="2"/>
        <v>36554</v>
      </c>
    </row>
    <row r="136" spans="1:21" s="62" customFormat="1" x14ac:dyDescent="0.35">
      <c r="A136" s="9" t="s">
        <v>21</v>
      </c>
      <c r="B136" s="2">
        <v>46204</v>
      </c>
      <c r="C136" s="1" t="s">
        <v>89</v>
      </c>
      <c r="D136" s="1" t="s">
        <v>66</v>
      </c>
      <c r="E136" s="1" t="s">
        <v>33</v>
      </c>
      <c r="F136" s="1" t="s">
        <v>65</v>
      </c>
      <c r="G136" s="3"/>
      <c r="H136" s="3"/>
      <c r="I136" s="3"/>
      <c r="J136" s="79">
        <v>4465</v>
      </c>
      <c r="K136" s="79">
        <v>6271</v>
      </c>
      <c r="L136" s="79">
        <v>1800</v>
      </c>
      <c r="M136" s="79">
        <v>2632</v>
      </c>
      <c r="N136" s="79">
        <v>13111</v>
      </c>
      <c r="O136" s="89"/>
      <c r="P136" s="89"/>
      <c r="Q136" s="79">
        <v>777</v>
      </c>
      <c r="R136" s="89"/>
      <c r="S136" s="79">
        <v>1700</v>
      </c>
      <c r="T136" s="80"/>
      <c r="U136" s="71">
        <f t="shared" si="2"/>
        <v>30756</v>
      </c>
    </row>
    <row r="137" spans="1:21" s="62" customFormat="1" x14ac:dyDescent="0.35">
      <c r="A137" s="9" t="s">
        <v>21</v>
      </c>
      <c r="B137" s="2">
        <v>46204</v>
      </c>
      <c r="C137" s="1" t="s">
        <v>67</v>
      </c>
      <c r="D137" s="1" t="s">
        <v>68</v>
      </c>
      <c r="E137" s="1" t="s">
        <v>24</v>
      </c>
      <c r="F137" s="1" t="s">
        <v>65</v>
      </c>
      <c r="G137" s="3"/>
      <c r="H137" s="3"/>
      <c r="I137" s="3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0"/>
      <c r="U137" s="71">
        <f t="shared" si="2"/>
        <v>0</v>
      </c>
    </row>
    <row r="138" spans="1:21" s="62" customFormat="1" x14ac:dyDescent="0.35">
      <c r="A138" s="9" t="s">
        <v>21</v>
      </c>
      <c r="B138" s="2">
        <v>46204</v>
      </c>
      <c r="C138" s="1" t="s">
        <v>69</v>
      </c>
      <c r="D138" s="1" t="s">
        <v>68</v>
      </c>
      <c r="E138" s="1" t="s">
        <v>24</v>
      </c>
      <c r="F138" s="1" t="s">
        <v>65</v>
      </c>
      <c r="G138" s="3"/>
      <c r="H138" s="3"/>
      <c r="I138" s="3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0"/>
      <c r="U138" s="71">
        <f t="shared" si="2"/>
        <v>0</v>
      </c>
    </row>
    <row r="139" spans="1:21" s="62" customFormat="1" x14ac:dyDescent="0.35">
      <c r="A139" s="9" t="s">
        <v>21</v>
      </c>
      <c r="B139" s="2">
        <v>46204</v>
      </c>
      <c r="C139" s="1" t="s">
        <v>86</v>
      </c>
      <c r="D139" s="1" t="s">
        <v>68</v>
      </c>
      <c r="E139" s="1" t="s">
        <v>24</v>
      </c>
      <c r="F139" s="1" t="s">
        <v>65</v>
      </c>
      <c r="G139" s="3"/>
      <c r="H139" s="3"/>
      <c r="I139" s="3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0"/>
      <c r="U139" s="71">
        <f t="shared" si="2"/>
        <v>0</v>
      </c>
    </row>
    <row r="140" spans="1:21" s="62" customFormat="1" x14ac:dyDescent="0.35">
      <c r="A140" s="9" t="s">
        <v>21</v>
      </c>
      <c r="B140" s="2">
        <v>46204</v>
      </c>
      <c r="C140" s="1" t="s">
        <v>70</v>
      </c>
      <c r="D140" s="1" t="s">
        <v>68</v>
      </c>
      <c r="E140" s="1" t="s">
        <v>24</v>
      </c>
      <c r="F140" s="1" t="s">
        <v>65</v>
      </c>
      <c r="G140" s="3"/>
      <c r="H140" s="3"/>
      <c r="I140" s="3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0"/>
      <c r="U140" s="71">
        <f t="shared" si="2"/>
        <v>0</v>
      </c>
    </row>
    <row r="141" spans="1:21" s="62" customFormat="1" x14ac:dyDescent="0.35">
      <c r="A141" s="9" t="s">
        <v>21</v>
      </c>
      <c r="B141" s="2">
        <v>46204</v>
      </c>
      <c r="C141" s="1" t="s">
        <v>40</v>
      </c>
      <c r="D141" s="1" t="s">
        <v>68</v>
      </c>
      <c r="E141" s="1" t="s">
        <v>24</v>
      </c>
      <c r="F141" s="1" t="s">
        <v>65</v>
      </c>
      <c r="G141" s="3"/>
      <c r="H141" s="3"/>
      <c r="I141" s="3"/>
      <c r="J141" s="79">
        <v>186873</v>
      </c>
      <c r="K141" s="89"/>
      <c r="L141" s="89"/>
      <c r="M141" s="89"/>
      <c r="N141" s="89"/>
      <c r="O141" s="89"/>
      <c r="P141" s="89"/>
      <c r="Q141" s="79">
        <v>589</v>
      </c>
      <c r="R141" s="89"/>
      <c r="S141" s="89"/>
      <c r="T141" s="80"/>
      <c r="U141" s="71">
        <f t="shared" si="2"/>
        <v>187462</v>
      </c>
    </row>
    <row r="142" spans="1:21" s="62" customFormat="1" x14ac:dyDescent="0.35">
      <c r="A142" s="9" t="s">
        <v>21</v>
      </c>
      <c r="B142" s="2">
        <v>46204</v>
      </c>
      <c r="C142" s="1" t="s">
        <v>71</v>
      </c>
      <c r="D142" s="1" t="s">
        <v>72</v>
      </c>
      <c r="E142" s="1" t="s">
        <v>33</v>
      </c>
      <c r="F142" s="1" t="s">
        <v>65</v>
      </c>
      <c r="G142" s="3"/>
      <c r="H142" s="3"/>
      <c r="I142" s="3"/>
      <c r="J142" s="79">
        <v>177765</v>
      </c>
      <c r="K142" s="89"/>
      <c r="L142" s="79">
        <v>16920</v>
      </c>
      <c r="M142" s="79">
        <v>14220</v>
      </c>
      <c r="N142" s="89"/>
      <c r="O142" s="79">
        <v>38663</v>
      </c>
      <c r="P142" s="89"/>
      <c r="Q142" s="89"/>
      <c r="R142" s="79">
        <v>9584</v>
      </c>
      <c r="S142" s="79">
        <v>348370</v>
      </c>
      <c r="T142" s="80"/>
      <c r="U142" s="71">
        <f t="shared" si="2"/>
        <v>605522</v>
      </c>
    </row>
    <row r="143" spans="1:21" s="62" customFormat="1" x14ac:dyDescent="0.35">
      <c r="A143" s="9" t="s">
        <v>21</v>
      </c>
      <c r="B143" s="2">
        <v>46204</v>
      </c>
      <c r="C143" s="1" t="s">
        <v>73</v>
      </c>
      <c r="D143" s="1" t="s">
        <v>74</v>
      </c>
      <c r="E143" s="1" t="s">
        <v>33</v>
      </c>
      <c r="F143" s="1" t="s">
        <v>65</v>
      </c>
      <c r="G143" s="3"/>
      <c r="H143" s="3"/>
      <c r="I143" s="3"/>
      <c r="J143" s="89"/>
      <c r="K143" s="89"/>
      <c r="L143" s="89"/>
      <c r="M143" s="89"/>
      <c r="N143" s="89"/>
      <c r="O143" s="89"/>
      <c r="P143" s="89"/>
      <c r="Q143" s="89"/>
      <c r="R143" s="89"/>
      <c r="S143" s="79">
        <v>90122</v>
      </c>
      <c r="T143" s="80"/>
      <c r="U143" s="71">
        <f t="shared" si="2"/>
        <v>90122</v>
      </c>
    </row>
    <row r="144" spans="1:21" s="62" customFormat="1" x14ac:dyDescent="0.35">
      <c r="A144" s="9" t="s">
        <v>21</v>
      </c>
      <c r="B144" s="2">
        <v>46204</v>
      </c>
      <c r="C144" s="1" t="s">
        <v>89</v>
      </c>
      <c r="D144" s="1" t="s">
        <v>75</v>
      </c>
      <c r="E144" s="1" t="s">
        <v>33</v>
      </c>
      <c r="F144" s="1" t="s">
        <v>65</v>
      </c>
      <c r="G144" s="90"/>
      <c r="H144" s="3">
        <v>63258</v>
      </c>
      <c r="I144" s="3"/>
      <c r="J144" s="79">
        <v>17967</v>
      </c>
      <c r="K144" s="79">
        <v>7410</v>
      </c>
      <c r="L144" s="79">
        <v>2462</v>
      </c>
      <c r="M144" s="79">
        <v>7097</v>
      </c>
      <c r="N144" s="79">
        <v>5300</v>
      </c>
      <c r="O144" s="89"/>
      <c r="P144" s="89"/>
      <c r="Q144" s="79">
        <v>1400</v>
      </c>
      <c r="R144" s="89"/>
      <c r="S144" s="89"/>
      <c r="T144" s="80"/>
      <c r="U144" s="71">
        <f t="shared" si="2"/>
        <v>104894</v>
      </c>
    </row>
    <row r="145" spans="1:21" s="62" customFormat="1" x14ac:dyDescent="0.35">
      <c r="A145" s="9" t="s">
        <v>21</v>
      </c>
      <c r="B145" s="2">
        <v>46204</v>
      </c>
      <c r="C145" s="1" t="s">
        <v>34</v>
      </c>
      <c r="D145" s="1" t="s">
        <v>42</v>
      </c>
      <c r="E145" s="1" t="s">
        <v>33</v>
      </c>
      <c r="F145" s="1" t="s">
        <v>25</v>
      </c>
      <c r="G145" s="91"/>
      <c r="H145" s="91"/>
      <c r="I145" s="92"/>
      <c r="J145" s="105"/>
      <c r="K145" s="92"/>
      <c r="L145" s="92"/>
      <c r="M145" s="92"/>
      <c r="N145" s="92"/>
      <c r="O145" s="92"/>
      <c r="P145" s="92"/>
      <c r="Q145" s="92"/>
      <c r="R145" s="92"/>
      <c r="S145" s="92"/>
      <c r="T145" s="65"/>
      <c r="U145" s="20">
        <f t="shared" si="2"/>
        <v>0</v>
      </c>
    </row>
    <row r="146" spans="1:21" s="62" customFormat="1" x14ac:dyDescent="0.35">
      <c r="A146" s="9" t="s">
        <v>21</v>
      </c>
      <c r="B146" s="2">
        <v>46204</v>
      </c>
      <c r="C146" s="1" t="s">
        <v>34</v>
      </c>
      <c r="D146" s="1" t="s">
        <v>44</v>
      </c>
      <c r="E146" s="1" t="s">
        <v>33</v>
      </c>
      <c r="F146" s="1" t="s">
        <v>25</v>
      </c>
      <c r="G146" s="93"/>
      <c r="H146" s="93"/>
      <c r="I146" s="19"/>
      <c r="J146" s="3"/>
      <c r="K146" s="19"/>
      <c r="L146" s="19"/>
      <c r="M146" s="19"/>
      <c r="N146" s="19"/>
      <c r="O146" s="19"/>
      <c r="P146" s="19"/>
      <c r="Q146" s="19"/>
      <c r="R146" s="19"/>
      <c r="S146" s="19"/>
      <c r="T146" s="59"/>
      <c r="U146" s="20">
        <f t="shared" si="2"/>
        <v>0</v>
      </c>
    </row>
    <row r="147" spans="1:21" s="62" customFormat="1" x14ac:dyDescent="0.35">
      <c r="A147" s="9" t="s">
        <v>21</v>
      </c>
      <c r="B147" s="2">
        <v>46204</v>
      </c>
      <c r="C147" s="1" t="s">
        <v>45</v>
      </c>
      <c r="D147" s="1" t="s">
        <v>46</v>
      </c>
      <c r="E147" s="1" t="s">
        <v>33</v>
      </c>
      <c r="F147" s="1" t="s">
        <v>25</v>
      </c>
      <c r="G147" s="93"/>
      <c r="H147" s="93"/>
      <c r="I147" s="19"/>
      <c r="J147" s="3"/>
      <c r="K147" s="19"/>
      <c r="L147" s="19"/>
      <c r="M147" s="19"/>
      <c r="N147" s="19"/>
      <c r="O147" s="19"/>
      <c r="P147" s="19"/>
      <c r="Q147" s="19"/>
      <c r="R147" s="19"/>
      <c r="S147" s="19"/>
      <c r="T147" s="59"/>
      <c r="U147" s="20">
        <f t="shared" si="2"/>
        <v>0</v>
      </c>
    </row>
    <row r="148" spans="1:21" s="62" customFormat="1" x14ac:dyDescent="0.35">
      <c r="A148" s="9" t="s">
        <v>21</v>
      </c>
      <c r="B148" s="2">
        <v>46204</v>
      </c>
      <c r="C148" s="1" t="s">
        <v>22</v>
      </c>
      <c r="D148" s="1" t="s">
        <v>23</v>
      </c>
      <c r="E148" s="1" t="s">
        <v>24</v>
      </c>
      <c r="F148" s="1" t="s">
        <v>43</v>
      </c>
      <c r="G148" s="93"/>
      <c r="H148" s="93"/>
      <c r="I148" s="19"/>
      <c r="J148" s="3"/>
      <c r="K148" s="19"/>
      <c r="L148" s="19"/>
      <c r="M148" s="19"/>
      <c r="N148" s="19"/>
      <c r="O148" s="19"/>
      <c r="P148" s="19"/>
      <c r="Q148" s="19"/>
      <c r="R148" s="19"/>
      <c r="S148" s="19"/>
      <c r="T148" s="59"/>
      <c r="U148" s="20">
        <f t="shared" si="2"/>
        <v>0</v>
      </c>
    </row>
    <row r="149" spans="1:21" s="62" customFormat="1" x14ac:dyDescent="0.35">
      <c r="A149" s="9" t="s">
        <v>21</v>
      </c>
      <c r="B149" s="2">
        <v>46204</v>
      </c>
      <c r="C149" s="1" t="s">
        <v>27</v>
      </c>
      <c r="D149" s="1" t="s">
        <v>23</v>
      </c>
      <c r="E149" s="1" t="s">
        <v>24</v>
      </c>
      <c r="F149" s="1" t="s">
        <v>43</v>
      </c>
      <c r="G149" s="93"/>
      <c r="H149" s="93"/>
      <c r="I149" s="19"/>
      <c r="J149" s="3"/>
      <c r="K149" s="19"/>
      <c r="L149" s="19"/>
      <c r="M149" s="19"/>
      <c r="N149" s="19"/>
      <c r="O149" s="19"/>
      <c r="P149" s="19"/>
      <c r="Q149" s="19"/>
      <c r="R149" s="19"/>
      <c r="S149" s="19"/>
      <c r="T149" s="59"/>
      <c r="U149" s="20">
        <f t="shared" si="2"/>
        <v>0</v>
      </c>
    </row>
    <row r="150" spans="1:21" s="62" customFormat="1" x14ac:dyDescent="0.35">
      <c r="A150" s="9" t="s">
        <v>21</v>
      </c>
      <c r="B150" s="2">
        <v>46204</v>
      </c>
      <c r="C150" s="1" t="s">
        <v>29</v>
      </c>
      <c r="D150" s="1" t="s">
        <v>23</v>
      </c>
      <c r="E150" s="1" t="s">
        <v>24</v>
      </c>
      <c r="F150" s="1" t="s">
        <v>43</v>
      </c>
      <c r="G150" s="93"/>
      <c r="H150" s="93"/>
      <c r="I150" s="19"/>
      <c r="J150" s="3"/>
      <c r="K150" s="19"/>
      <c r="L150" s="19"/>
      <c r="M150" s="19"/>
      <c r="N150" s="19"/>
      <c r="O150" s="19"/>
      <c r="P150" s="19"/>
      <c r="Q150" s="19"/>
      <c r="R150" s="19"/>
      <c r="S150" s="19"/>
      <c r="T150" s="59"/>
      <c r="U150" s="20">
        <f t="shared" si="2"/>
        <v>0</v>
      </c>
    </row>
    <row r="151" spans="1:21" s="62" customFormat="1" x14ac:dyDescent="0.35">
      <c r="A151" s="9" t="s">
        <v>21</v>
      </c>
      <c r="B151" s="2">
        <v>46204</v>
      </c>
      <c r="C151" s="1" t="s">
        <v>30</v>
      </c>
      <c r="D151" s="1" t="s">
        <v>23</v>
      </c>
      <c r="E151" s="1" t="s">
        <v>24</v>
      </c>
      <c r="F151" s="1" t="s">
        <v>43</v>
      </c>
      <c r="G151" s="93"/>
      <c r="H151" s="93"/>
      <c r="I151" s="19"/>
      <c r="J151" s="3"/>
      <c r="K151" s="19"/>
      <c r="L151" s="19"/>
      <c r="M151" s="19"/>
      <c r="N151" s="19"/>
      <c r="O151" s="19"/>
      <c r="P151" s="19"/>
      <c r="Q151" s="19"/>
      <c r="R151" s="19"/>
      <c r="S151" s="19"/>
      <c r="T151" s="59"/>
      <c r="U151" s="20">
        <f t="shared" si="2"/>
        <v>0</v>
      </c>
    </row>
    <row r="152" spans="1:21" s="62" customFormat="1" x14ac:dyDescent="0.35">
      <c r="A152" s="9" t="s">
        <v>21</v>
      </c>
      <c r="B152" s="2">
        <v>46204</v>
      </c>
      <c r="C152" s="1" t="s">
        <v>89</v>
      </c>
      <c r="D152" s="1" t="s">
        <v>32</v>
      </c>
      <c r="E152" s="1" t="s">
        <v>33</v>
      </c>
      <c r="F152" s="1" t="s">
        <v>43</v>
      </c>
      <c r="G152" s="93"/>
      <c r="H152" s="93"/>
      <c r="I152" s="19"/>
      <c r="J152" s="3"/>
      <c r="K152" s="19"/>
      <c r="L152" s="19"/>
      <c r="M152" s="19"/>
      <c r="N152" s="19"/>
      <c r="O152" s="19"/>
      <c r="P152" s="19"/>
      <c r="Q152" s="19"/>
      <c r="R152" s="19"/>
      <c r="S152" s="19"/>
      <c r="T152" s="59"/>
      <c r="U152" s="20">
        <f t="shared" si="2"/>
        <v>0</v>
      </c>
    </row>
    <row r="153" spans="1:21" s="62" customFormat="1" x14ac:dyDescent="0.35">
      <c r="A153" s="9" t="s">
        <v>21</v>
      </c>
      <c r="B153" s="2">
        <v>46204</v>
      </c>
      <c r="C153" s="1" t="s">
        <v>34</v>
      </c>
      <c r="D153" s="1" t="s">
        <v>35</v>
      </c>
      <c r="E153" s="1" t="s">
        <v>33</v>
      </c>
      <c r="F153" s="1" t="s">
        <v>43</v>
      </c>
      <c r="G153" s="93"/>
      <c r="H153" s="93"/>
      <c r="I153" s="19"/>
      <c r="J153" s="3"/>
      <c r="K153" s="19"/>
      <c r="L153" s="19"/>
      <c r="M153" s="19"/>
      <c r="N153" s="19"/>
      <c r="O153" s="19"/>
      <c r="P153" s="19"/>
      <c r="Q153" s="19"/>
      <c r="R153" s="19"/>
      <c r="S153" s="19"/>
      <c r="T153" s="59"/>
      <c r="U153" s="20">
        <f t="shared" si="2"/>
        <v>0</v>
      </c>
    </row>
    <row r="154" spans="1:21" s="62" customFormat="1" x14ac:dyDescent="0.35">
      <c r="A154" s="9" t="s">
        <v>21</v>
      </c>
      <c r="B154" s="2">
        <v>46204</v>
      </c>
      <c r="C154" s="1" t="s">
        <v>134</v>
      </c>
      <c r="D154" s="1" t="s">
        <v>38</v>
      </c>
      <c r="E154" s="1" t="s">
        <v>24</v>
      </c>
      <c r="F154" s="1" t="s">
        <v>43</v>
      </c>
      <c r="G154" s="93"/>
      <c r="H154" s="93"/>
      <c r="I154" s="19"/>
      <c r="J154" s="3"/>
      <c r="K154" s="19"/>
      <c r="L154" s="19"/>
      <c r="M154" s="19"/>
      <c r="N154" s="19"/>
      <c r="O154" s="19"/>
      <c r="P154" s="19"/>
      <c r="Q154" s="19"/>
      <c r="R154" s="19"/>
      <c r="S154" s="19"/>
      <c r="T154" s="59"/>
      <c r="U154" s="20">
        <f t="shared" si="2"/>
        <v>0</v>
      </c>
    </row>
    <row r="155" spans="1:21" s="62" customFormat="1" x14ac:dyDescent="0.35">
      <c r="A155" s="9" t="s">
        <v>21</v>
      </c>
      <c r="B155" s="2">
        <v>46204</v>
      </c>
      <c r="C155" s="1" t="s">
        <v>49</v>
      </c>
      <c r="D155" s="1" t="s">
        <v>38</v>
      </c>
      <c r="E155" s="1" t="s">
        <v>24</v>
      </c>
      <c r="F155" s="1" t="s">
        <v>43</v>
      </c>
      <c r="G155" s="93"/>
      <c r="H155" s="93"/>
      <c r="I155" s="19"/>
      <c r="J155" s="3"/>
      <c r="K155" s="19"/>
      <c r="L155" s="19"/>
      <c r="M155" s="19"/>
      <c r="N155" s="19"/>
      <c r="O155" s="19"/>
      <c r="P155" s="19"/>
      <c r="Q155" s="19"/>
      <c r="R155" s="19"/>
      <c r="S155" s="19"/>
      <c r="T155" s="59"/>
      <c r="U155" s="20">
        <f t="shared" si="2"/>
        <v>0</v>
      </c>
    </row>
    <row r="156" spans="1:21" s="62" customFormat="1" x14ac:dyDescent="0.35">
      <c r="A156" s="9" t="s">
        <v>21</v>
      </c>
      <c r="B156" s="2">
        <v>46204</v>
      </c>
      <c r="C156" s="1" t="s">
        <v>40</v>
      </c>
      <c r="D156" s="1" t="s">
        <v>38</v>
      </c>
      <c r="E156" s="1" t="s">
        <v>24</v>
      </c>
      <c r="F156" s="1" t="s">
        <v>43</v>
      </c>
      <c r="G156" s="93"/>
      <c r="H156" s="93"/>
      <c r="I156" s="19"/>
      <c r="J156" s="3"/>
      <c r="K156" s="19"/>
      <c r="L156" s="19"/>
      <c r="M156" s="19"/>
      <c r="N156" s="19"/>
      <c r="O156" s="19"/>
      <c r="P156" s="19"/>
      <c r="Q156" s="19"/>
      <c r="R156" s="19"/>
      <c r="S156" s="19"/>
      <c r="T156" s="59"/>
      <c r="U156" s="20">
        <f t="shared" si="2"/>
        <v>0</v>
      </c>
    </row>
    <row r="157" spans="1:21" s="62" customFormat="1" x14ac:dyDescent="0.35">
      <c r="A157" s="9" t="s">
        <v>21</v>
      </c>
      <c r="B157" s="2">
        <v>46204</v>
      </c>
      <c r="C157" s="1" t="s">
        <v>88</v>
      </c>
      <c r="D157" s="1" t="s">
        <v>38</v>
      </c>
      <c r="E157" s="1" t="s">
        <v>24</v>
      </c>
      <c r="F157" s="1" t="s">
        <v>43</v>
      </c>
      <c r="G157" s="93"/>
      <c r="H157" s="93"/>
      <c r="I157" s="19"/>
      <c r="J157" s="3"/>
      <c r="K157" s="19"/>
      <c r="L157" s="19"/>
      <c r="M157" s="19"/>
      <c r="N157" s="19"/>
      <c r="O157" s="19"/>
      <c r="P157" s="19"/>
      <c r="Q157" s="19"/>
      <c r="R157" s="19"/>
      <c r="S157" s="19"/>
      <c r="T157" s="59"/>
      <c r="U157" s="20">
        <f t="shared" si="2"/>
        <v>0</v>
      </c>
    </row>
    <row r="158" spans="1:21" s="62" customFormat="1" x14ac:dyDescent="0.35">
      <c r="A158" s="9" t="s">
        <v>21</v>
      </c>
      <c r="B158" s="2">
        <v>46204</v>
      </c>
      <c r="C158" s="1" t="s">
        <v>41</v>
      </c>
      <c r="D158" s="1" t="s">
        <v>38</v>
      </c>
      <c r="E158" s="1" t="s">
        <v>24</v>
      </c>
      <c r="F158" s="1" t="s">
        <v>43</v>
      </c>
      <c r="G158" s="93"/>
      <c r="H158" s="93"/>
      <c r="I158" s="19"/>
      <c r="J158" s="3"/>
      <c r="K158" s="19"/>
      <c r="L158" s="19"/>
      <c r="M158" s="19"/>
      <c r="N158" s="19"/>
      <c r="O158" s="19"/>
      <c r="P158" s="19"/>
      <c r="Q158" s="19"/>
      <c r="R158" s="19"/>
      <c r="S158" s="19"/>
      <c r="T158" s="59"/>
      <c r="U158" s="20">
        <f t="shared" si="2"/>
        <v>0</v>
      </c>
    </row>
    <row r="159" spans="1:21" s="62" customFormat="1" x14ac:dyDescent="0.35">
      <c r="A159" s="9" t="s">
        <v>21</v>
      </c>
      <c r="B159" s="2">
        <v>46204</v>
      </c>
      <c r="C159" s="1" t="s">
        <v>78</v>
      </c>
      <c r="D159" s="1" t="s">
        <v>79</v>
      </c>
      <c r="E159" s="1" t="s">
        <v>80</v>
      </c>
      <c r="F159" s="1" t="s">
        <v>43</v>
      </c>
      <c r="G159" s="93"/>
      <c r="H159" s="93"/>
      <c r="I159" s="19"/>
      <c r="J159" s="3"/>
      <c r="K159" s="58"/>
      <c r="L159" s="58"/>
      <c r="M159" s="58"/>
      <c r="N159" s="58"/>
      <c r="O159" s="58"/>
      <c r="P159" s="58"/>
      <c r="Q159" s="58"/>
      <c r="R159" s="58"/>
      <c r="S159" s="58"/>
      <c r="T159" s="73"/>
      <c r="U159" s="20">
        <f t="shared" si="2"/>
        <v>0</v>
      </c>
    </row>
    <row r="160" spans="1:21" s="62" customFormat="1" x14ac:dyDescent="0.35">
      <c r="A160" s="9" t="s">
        <v>21</v>
      </c>
      <c r="B160" s="2">
        <v>46204</v>
      </c>
      <c r="C160" s="1" t="s">
        <v>30</v>
      </c>
      <c r="D160" s="1" t="s">
        <v>47</v>
      </c>
      <c r="E160" s="1" t="s">
        <v>24</v>
      </c>
      <c r="F160" s="1" t="s">
        <v>48</v>
      </c>
      <c r="G160" s="94"/>
      <c r="H160" s="94"/>
      <c r="I160" s="19"/>
      <c r="J160" s="106"/>
      <c r="K160" s="1">
        <v>1964</v>
      </c>
      <c r="L160" s="1">
        <v>504</v>
      </c>
      <c r="M160" s="1">
        <v>1475</v>
      </c>
      <c r="N160" s="1">
        <v>3740</v>
      </c>
      <c r="O160" s="95"/>
      <c r="P160" s="95"/>
      <c r="Q160" s="95"/>
      <c r="R160" s="95"/>
      <c r="S160" s="95"/>
      <c r="T160" s="69"/>
      <c r="U160" s="71">
        <f t="shared" si="2"/>
        <v>7683</v>
      </c>
    </row>
    <row r="161" spans="1:21" s="62" customFormat="1" x14ac:dyDescent="0.35">
      <c r="A161" s="9" t="s">
        <v>21</v>
      </c>
      <c r="B161" s="2">
        <v>46204</v>
      </c>
      <c r="C161" s="1" t="s">
        <v>49</v>
      </c>
      <c r="D161" s="1" t="s">
        <v>47</v>
      </c>
      <c r="E161" s="1" t="s">
        <v>24</v>
      </c>
      <c r="F161" s="67" t="s">
        <v>48</v>
      </c>
      <c r="G161" s="1">
        <v>2832943</v>
      </c>
      <c r="H161" s="1">
        <v>228506</v>
      </c>
      <c r="I161" s="96"/>
      <c r="J161" s="106"/>
      <c r="K161" s="1">
        <v>53094</v>
      </c>
      <c r="L161" s="95"/>
      <c r="M161" s="95"/>
      <c r="N161" s="95"/>
      <c r="O161" s="95"/>
      <c r="P161" s="1">
        <v>10500</v>
      </c>
      <c r="Q161" s="95"/>
      <c r="R161" s="1">
        <v>10353</v>
      </c>
      <c r="S161" s="1">
        <v>118671</v>
      </c>
      <c r="T161" s="74" t="s">
        <v>123</v>
      </c>
      <c r="U161" s="71">
        <f t="shared" si="2"/>
        <v>3254067</v>
      </c>
    </row>
    <row r="162" spans="1:21" s="62" customFormat="1" x14ac:dyDescent="0.35">
      <c r="A162" s="9" t="s">
        <v>21</v>
      </c>
      <c r="B162" s="2">
        <v>46204</v>
      </c>
      <c r="C162" s="1" t="s">
        <v>51</v>
      </c>
      <c r="D162" s="1" t="s">
        <v>47</v>
      </c>
      <c r="E162" s="1" t="s">
        <v>24</v>
      </c>
      <c r="F162" s="67" t="s">
        <v>48</v>
      </c>
      <c r="G162" s="1">
        <v>100222</v>
      </c>
      <c r="H162" s="95"/>
      <c r="I162" s="96"/>
      <c r="J162" s="106"/>
      <c r="K162" s="1">
        <v>2700</v>
      </c>
      <c r="L162" s="1">
        <v>648</v>
      </c>
      <c r="M162" s="1">
        <v>4840</v>
      </c>
      <c r="N162" s="1">
        <v>699</v>
      </c>
      <c r="O162" s="95"/>
      <c r="P162" s="1">
        <v>3376</v>
      </c>
      <c r="Q162" s="95"/>
      <c r="R162" s="95"/>
      <c r="S162" s="95"/>
      <c r="T162" s="69"/>
      <c r="U162" s="71">
        <f t="shared" si="2"/>
        <v>112485</v>
      </c>
    </row>
    <row r="163" spans="1:21" s="31" customFormat="1" ht="15" thickBot="1" x14ac:dyDescent="0.4">
      <c r="A163" s="16" t="s">
        <v>21</v>
      </c>
      <c r="B163" s="17">
        <v>46204</v>
      </c>
      <c r="C163" s="18" t="s">
        <v>52</v>
      </c>
      <c r="D163" s="18" t="s">
        <v>47</v>
      </c>
      <c r="E163" s="18" t="s">
        <v>24</v>
      </c>
      <c r="F163" s="68" t="s">
        <v>48</v>
      </c>
      <c r="G163" s="18">
        <v>265021</v>
      </c>
      <c r="H163" s="97"/>
      <c r="I163" s="98"/>
      <c r="J163" s="107"/>
      <c r="K163" s="18">
        <v>6168</v>
      </c>
      <c r="L163" s="18">
        <v>864</v>
      </c>
      <c r="M163" s="18">
        <v>7610</v>
      </c>
      <c r="N163" s="18">
        <v>9119</v>
      </c>
      <c r="O163" s="18">
        <v>14000</v>
      </c>
      <c r="P163" s="18">
        <v>4335</v>
      </c>
      <c r="Q163" s="97"/>
      <c r="R163" s="97"/>
      <c r="S163" s="97"/>
      <c r="T163" s="70"/>
      <c r="U163" s="72">
        <f t="shared" si="2"/>
        <v>307117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DF83E-B8A7-4005-9AAA-9F8533BB0180}">
  <sheetPr filterMode="1"/>
  <dimension ref="A1:G25"/>
  <sheetViews>
    <sheetView showGridLines="0" workbookViewId="0">
      <selection activeCell="E32" sqref="E32"/>
    </sheetView>
  </sheetViews>
  <sheetFormatPr defaultRowHeight="13" x14ac:dyDescent="0.3"/>
  <cols>
    <col min="1" max="1" width="6.7265625" style="39" bestFit="1" customWidth="1"/>
    <col min="2" max="2" width="11.6328125" style="39" bestFit="1" customWidth="1"/>
    <col min="3" max="3" width="20.08984375" style="46" bestFit="1" customWidth="1"/>
    <col min="4" max="4" width="7.36328125" style="46" bestFit="1" customWidth="1"/>
    <col min="5" max="5" width="9.7265625" style="46" bestFit="1" customWidth="1"/>
    <col min="6" max="6" width="8" style="46" bestFit="1" customWidth="1"/>
    <col min="7" max="7" width="8.1796875" style="46" bestFit="1" customWidth="1"/>
    <col min="8" max="16384" width="8.7265625" style="39"/>
  </cols>
  <sheetData>
    <row r="1" spans="1:7" s="34" customFormat="1" x14ac:dyDescent="0.35">
      <c r="A1" s="33" t="s">
        <v>5</v>
      </c>
      <c r="B1" s="33" t="s">
        <v>92</v>
      </c>
      <c r="C1" s="33" t="s">
        <v>95</v>
      </c>
      <c r="D1" s="33" t="s">
        <v>117</v>
      </c>
      <c r="E1" s="33" t="s">
        <v>116</v>
      </c>
      <c r="F1" s="33" t="s">
        <v>118</v>
      </c>
      <c r="G1" s="33" t="s">
        <v>119</v>
      </c>
    </row>
    <row r="2" spans="1:7" hidden="1" x14ac:dyDescent="0.3">
      <c r="A2" s="35" t="s">
        <v>93</v>
      </c>
      <c r="B2" s="35" t="s">
        <v>94</v>
      </c>
      <c r="C2" s="35" t="s">
        <v>96</v>
      </c>
      <c r="D2" s="36">
        <v>46251</v>
      </c>
      <c r="E2" s="37" t="s">
        <v>130</v>
      </c>
      <c r="F2" s="38">
        <v>0.625</v>
      </c>
      <c r="G2" s="37" t="s">
        <v>120</v>
      </c>
    </row>
    <row r="3" spans="1:7" hidden="1" x14ac:dyDescent="0.3">
      <c r="A3" s="35" t="s">
        <v>93</v>
      </c>
      <c r="B3" s="35" t="s">
        <v>94</v>
      </c>
      <c r="C3" s="35" t="s">
        <v>97</v>
      </c>
      <c r="D3" s="36">
        <v>46251</v>
      </c>
      <c r="E3" s="37" t="s">
        <v>130</v>
      </c>
      <c r="F3" s="40"/>
      <c r="G3" s="37" t="s">
        <v>120</v>
      </c>
    </row>
    <row r="4" spans="1:7" hidden="1" x14ac:dyDescent="0.3">
      <c r="A4" s="35" t="s">
        <v>93</v>
      </c>
      <c r="B4" s="35" t="s">
        <v>94</v>
      </c>
      <c r="C4" s="35" t="s">
        <v>98</v>
      </c>
      <c r="D4" s="36">
        <v>46251</v>
      </c>
      <c r="E4" s="37" t="s">
        <v>130</v>
      </c>
      <c r="F4" s="41"/>
      <c r="G4" s="37" t="s">
        <v>120</v>
      </c>
    </row>
    <row r="5" spans="1:7" hidden="1" x14ac:dyDescent="0.3">
      <c r="A5" s="35" t="s">
        <v>93</v>
      </c>
      <c r="B5" s="35" t="s">
        <v>94</v>
      </c>
      <c r="C5" s="35" t="s">
        <v>99</v>
      </c>
      <c r="D5" s="36">
        <v>46246</v>
      </c>
      <c r="E5" s="37" t="s">
        <v>127</v>
      </c>
      <c r="F5" s="42">
        <v>0.625</v>
      </c>
      <c r="G5" s="37" t="s">
        <v>121</v>
      </c>
    </row>
    <row r="6" spans="1:7" hidden="1" x14ac:dyDescent="0.3">
      <c r="A6" s="35" t="s">
        <v>93</v>
      </c>
      <c r="B6" s="35" t="s">
        <v>102</v>
      </c>
      <c r="C6" s="35" t="s">
        <v>40</v>
      </c>
      <c r="D6" s="36">
        <v>46246</v>
      </c>
      <c r="E6" s="37" t="s">
        <v>127</v>
      </c>
      <c r="F6" s="42">
        <v>0.64583333333333337</v>
      </c>
      <c r="G6" s="37" t="s">
        <v>126</v>
      </c>
    </row>
    <row r="7" spans="1:7" hidden="1" x14ac:dyDescent="0.3">
      <c r="A7" s="35" t="s">
        <v>93</v>
      </c>
      <c r="B7" s="35" t="s">
        <v>101</v>
      </c>
      <c r="C7" s="35" t="s">
        <v>100</v>
      </c>
      <c r="D7" s="36">
        <v>46247</v>
      </c>
      <c r="E7" s="37" t="s">
        <v>128</v>
      </c>
      <c r="F7" s="42">
        <v>0.45833333333333331</v>
      </c>
      <c r="G7" s="37" t="s">
        <v>125</v>
      </c>
    </row>
    <row r="8" spans="1:7" hidden="1" x14ac:dyDescent="0.3">
      <c r="A8" s="35" t="s">
        <v>103</v>
      </c>
      <c r="B8" s="35" t="s">
        <v>104</v>
      </c>
      <c r="C8" s="35" t="s">
        <v>100</v>
      </c>
      <c r="D8" s="36">
        <v>46247</v>
      </c>
      <c r="E8" s="37" t="s">
        <v>128</v>
      </c>
      <c r="F8" s="43">
        <v>0.47916666666666669</v>
      </c>
      <c r="G8" s="37" t="s">
        <v>125</v>
      </c>
    </row>
    <row r="9" spans="1:7" hidden="1" x14ac:dyDescent="0.3">
      <c r="A9" s="35" t="s">
        <v>103</v>
      </c>
      <c r="B9" s="35" t="s">
        <v>105</v>
      </c>
      <c r="C9" s="35" t="s">
        <v>100</v>
      </c>
      <c r="D9" s="36">
        <v>46248</v>
      </c>
      <c r="E9" s="37" t="s">
        <v>129</v>
      </c>
      <c r="F9" s="38">
        <v>0.60416666666666663</v>
      </c>
      <c r="G9" s="37" t="s">
        <v>125</v>
      </c>
    </row>
    <row r="10" spans="1:7" hidden="1" x14ac:dyDescent="0.3">
      <c r="A10" s="35" t="s">
        <v>103</v>
      </c>
      <c r="B10" s="35" t="s">
        <v>106</v>
      </c>
      <c r="C10" s="35" t="s">
        <v>100</v>
      </c>
      <c r="D10" s="36">
        <v>46248</v>
      </c>
      <c r="E10" s="37" t="s">
        <v>129</v>
      </c>
      <c r="F10" s="40"/>
      <c r="G10" s="37" t="s">
        <v>125</v>
      </c>
    </row>
    <row r="11" spans="1:7" hidden="1" x14ac:dyDescent="0.3">
      <c r="A11" s="35" t="s">
        <v>103</v>
      </c>
      <c r="B11" s="35" t="s">
        <v>107</v>
      </c>
      <c r="C11" s="35" t="s">
        <v>100</v>
      </c>
      <c r="D11" s="36">
        <v>46248</v>
      </c>
      <c r="E11" s="37" t="s">
        <v>129</v>
      </c>
      <c r="F11" s="40"/>
      <c r="G11" s="37" t="s">
        <v>125</v>
      </c>
    </row>
    <row r="12" spans="1:7" hidden="1" x14ac:dyDescent="0.3">
      <c r="A12" s="35" t="s">
        <v>103</v>
      </c>
      <c r="B12" s="35" t="s">
        <v>108</v>
      </c>
      <c r="C12" s="35" t="s">
        <v>100</v>
      </c>
      <c r="D12" s="36">
        <v>46255</v>
      </c>
      <c r="E12" s="37" t="s">
        <v>129</v>
      </c>
      <c r="F12" s="49">
        <v>0.59722222222222221</v>
      </c>
      <c r="G12" s="37" t="s">
        <v>126</v>
      </c>
    </row>
    <row r="13" spans="1:7" hidden="1" x14ac:dyDescent="0.3">
      <c r="A13" s="35" t="s">
        <v>110</v>
      </c>
      <c r="B13" s="35" t="s">
        <v>109</v>
      </c>
      <c r="C13" s="35" t="s">
        <v>99</v>
      </c>
      <c r="D13" s="36">
        <v>46251</v>
      </c>
      <c r="E13" s="37" t="s">
        <v>130</v>
      </c>
      <c r="F13" s="44">
        <v>0.60416666666666663</v>
      </c>
      <c r="G13" s="37" t="s">
        <v>121</v>
      </c>
    </row>
    <row r="14" spans="1:7" hidden="1" x14ac:dyDescent="0.3">
      <c r="A14" s="35" t="s">
        <v>110</v>
      </c>
      <c r="B14" s="35" t="s">
        <v>109</v>
      </c>
      <c r="C14" s="35" t="s">
        <v>51</v>
      </c>
      <c r="D14" s="36">
        <v>46251</v>
      </c>
      <c r="E14" s="37" t="s">
        <v>130</v>
      </c>
      <c r="F14" s="38">
        <v>0.47916666666666669</v>
      </c>
      <c r="G14" s="37" t="s">
        <v>122</v>
      </c>
    </row>
    <row r="15" spans="1:7" hidden="1" x14ac:dyDescent="0.3">
      <c r="A15" s="35" t="s">
        <v>110</v>
      </c>
      <c r="B15" s="35" t="s">
        <v>109</v>
      </c>
      <c r="C15" s="35" t="s">
        <v>52</v>
      </c>
      <c r="D15" s="36">
        <v>46251</v>
      </c>
      <c r="E15" s="37" t="s">
        <v>130</v>
      </c>
      <c r="F15" s="41"/>
      <c r="G15" s="37" t="s">
        <v>122</v>
      </c>
    </row>
    <row r="16" spans="1:7" hidden="1" x14ac:dyDescent="0.3">
      <c r="A16" s="35" t="s">
        <v>111</v>
      </c>
      <c r="B16" s="35" t="s">
        <v>112</v>
      </c>
      <c r="C16" s="35" t="s">
        <v>89</v>
      </c>
      <c r="D16" s="47">
        <v>46252</v>
      </c>
      <c r="E16" s="35" t="s">
        <v>131</v>
      </c>
      <c r="F16" s="38">
        <v>0.60416666666666663</v>
      </c>
      <c r="G16" s="35" t="s">
        <v>121</v>
      </c>
    </row>
    <row r="17" spans="1:7" hidden="1" x14ac:dyDescent="0.3">
      <c r="A17" s="35" t="s">
        <v>111</v>
      </c>
      <c r="B17" s="35" t="s">
        <v>112</v>
      </c>
      <c r="C17" s="35" t="s">
        <v>99</v>
      </c>
      <c r="D17" s="47">
        <v>46252</v>
      </c>
      <c r="E17" s="35" t="s">
        <v>131</v>
      </c>
      <c r="F17" s="45"/>
      <c r="G17" s="35" t="s">
        <v>121</v>
      </c>
    </row>
    <row r="18" spans="1:7" hidden="1" x14ac:dyDescent="0.3">
      <c r="A18" s="35" t="s">
        <v>111</v>
      </c>
      <c r="B18" s="35" t="s">
        <v>112</v>
      </c>
      <c r="C18" s="35" t="s">
        <v>55</v>
      </c>
      <c r="D18" s="47">
        <v>46252</v>
      </c>
      <c r="E18" s="35" t="s">
        <v>131</v>
      </c>
      <c r="F18" s="38">
        <v>0.45833333333333331</v>
      </c>
      <c r="G18" s="35" t="s">
        <v>122</v>
      </c>
    </row>
    <row r="19" spans="1:7" hidden="1" x14ac:dyDescent="0.3">
      <c r="A19" s="35" t="s">
        <v>111</v>
      </c>
      <c r="B19" s="35" t="s">
        <v>112</v>
      </c>
      <c r="C19" s="35" t="s">
        <v>56</v>
      </c>
      <c r="D19" s="47">
        <v>46252</v>
      </c>
      <c r="E19" s="35" t="s">
        <v>131</v>
      </c>
      <c r="F19" s="41"/>
      <c r="G19" s="35" t="s">
        <v>122</v>
      </c>
    </row>
    <row r="20" spans="1:7" x14ac:dyDescent="0.3">
      <c r="A20" s="35" t="s">
        <v>111</v>
      </c>
      <c r="B20" s="35" t="s">
        <v>112</v>
      </c>
      <c r="C20" s="35" t="s">
        <v>40</v>
      </c>
      <c r="D20" s="47">
        <v>46253</v>
      </c>
      <c r="E20" s="35" t="s">
        <v>127</v>
      </c>
      <c r="F20" s="44">
        <v>0.47916666666666669</v>
      </c>
      <c r="G20" s="37" t="s">
        <v>126</v>
      </c>
    </row>
    <row r="21" spans="1:7" x14ac:dyDescent="0.3">
      <c r="A21" s="35" t="s">
        <v>111</v>
      </c>
      <c r="B21" s="35" t="s">
        <v>112</v>
      </c>
      <c r="C21" s="35" t="s">
        <v>34</v>
      </c>
      <c r="D21" s="47">
        <v>46253</v>
      </c>
      <c r="E21" s="35" t="s">
        <v>127</v>
      </c>
      <c r="F21" s="44">
        <v>0.625</v>
      </c>
      <c r="G21" s="35" t="s">
        <v>125</v>
      </c>
    </row>
    <row r="22" spans="1:7" x14ac:dyDescent="0.3">
      <c r="A22" s="35" t="s">
        <v>111</v>
      </c>
      <c r="B22" s="35" t="s">
        <v>113</v>
      </c>
      <c r="C22" s="35" t="s">
        <v>133</v>
      </c>
      <c r="D22" s="47">
        <v>46253</v>
      </c>
      <c r="E22" s="35" t="s">
        <v>127</v>
      </c>
      <c r="F22" s="38">
        <v>0.64583333333333337</v>
      </c>
      <c r="G22" s="35" t="s">
        <v>125</v>
      </c>
    </row>
    <row r="23" spans="1:7" x14ac:dyDescent="0.3">
      <c r="A23" s="35" t="s">
        <v>111</v>
      </c>
      <c r="B23" s="35" t="s">
        <v>114</v>
      </c>
      <c r="C23" s="35" t="s">
        <v>132</v>
      </c>
      <c r="D23" s="47">
        <v>46253</v>
      </c>
      <c r="E23" s="35" t="s">
        <v>127</v>
      </c>
      <c r="F23" s="45"/>
      <c r="G23" s="35" t="s">
        <v>125</v>
      </c>
    </row>
    <row r="24" spans="1:7" hidden="1" x14ac:dyDescent="0.3">
      <c r="A24" s="37" t="s">
        <v>115</v>
      </c>
      <c r="B24" s="37" t="s">
        <v>68</v>
      </c>
      <c r="C24" s="35" t="s">
        <v>40</v>
      </c>
      <c r="D24" s="36">
        <v>46255</v>
      </c>
      <c r="E24" s="37" t="s">
        <v>129</v>
      </c>
      <c r="F24" s="48">
        <v>0.45833333333333331</v>
      </c>
      <c r="G24" s="37" t="s">
        <v>126</v>
      </c>
    </row>
    <row r="25" spans="1:7" hidden="1" x14ac:dyDescent="0.3">
      <c r="A25" s="37" t="s">
        <v>115</v>
      </c>
      <c r="B25" s="37" t="s">
        <v>74</v>
      </c>
      <c r="C25" s="35" t="s">
        <v>73</v>
      </c>
      <c r="D25" s="36">
        <v>46255</v>
      </c>
      <c r="E25" s="37" t="s">
        <v>129</v>
      </c>
      <c r="F25" s="49">
        <v>0.47916666666666669</v>
      </c>
      <c r="G25" s="37" t="s">
        <v>120</v>
      </c>
    </row>
  </sheetData>
  <autoFilter ref="A1:J25" xr:uid="{834DF83E-B8A7-4005-9AAA-9F8533BB0180}">
    <filterColumn colId="3">
      <filters>
        <dateGroupItem year="2026" month="8" day="19" dateTimeGrouping="day"/>
      </filters>
    </filterColumn>
  </autoFilter>
  <mergeCells count="6">
    <mergeCell ref="F22:F23"/>
    <mergeCell ref="F9:F11"/>
    <mergeCell ref="F2:F4"/>
    <mergeCell ref="F14:F15"/>
    <mergeCell ref="F16:F17"/>
    <mergeCell ref="F18:F19"/>
  </mergeCell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2026-27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Karishma Das (W&amp;D)</dc:creator>
  <cp:lastModifiedBy>Karishma Das (W&amp;D)</cp:lastModifiedBy>
  <dcterms:created xsi:type="dcterms:W3CDTF">2026-06-23T06:18:53Z</dcterms:created>
  <dcterms:modified xsi:type="dcterms:W3CDTF">2026-08-19T04:55:51Z</dcterms:modified>
</cp:coreProperties>
</file>